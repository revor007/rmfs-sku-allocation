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lukman-rmfs\_full_postt_parallel_runs\four_scenario_1000_shared_latest\"/>
    </mc:Choice>
  </mc:AlternateContent>
  <xr:revisionPtr revIDLastSave="0" documentId="13_ncr:1_{71D84B66-DDB4-4E88-86CE-5506F31FE130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Levene Test" sheetId="12" r:id="rId1"/>
    <sheet name="throughput_per_fulfilled_order" sheetId="1" r:id="rId2"/>
    <sheet name="throughput per hour" sheetId="7" r:id="rId3"/>
    <sheet name="pile-on" sheetId="6" r:id="rId4"/>
    <sheet name="total_energy" sheetId="10" r:id="rId5"/>
    <sheet name="energy_per_fulfilled_order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 l="1"/>
  <c r="O14" i="1"/>
  <c r="O16" i="1"/>
  <c r="O15" i="1"/>
  <c r="N17" i="1"/>
  <c r="N15" i="1"/>
  <c r="N16" i="1"/>
  <c r="N14" i="1"/>
  <c r="M17" i="1"/>
  <c r="M16" i="1"/>
  <c r="M15" i="1"/>
  <c r="M14" i="1"/>
  <c r="L15" i="1"/>
  <c r="L16" i="1"/>
  <c r="L17" i="1"/>
  <c r="L14" i="1"/>
  <c r="F44" i="1"/>
  <c r="E44" i="1"/>
  <c r="F44" i="6"/>
  <c r="E44" i="6"/>
  <c r="E42" i="6"/>
  <c r="E44" i="9"/>
  <c r="F44" i="9"/>
  <c r="E68" i="10"/>
  <c r="E66" i="10"/>
  <c r="D66" i="10"/>
  <c r="D64" i="10"/>
  <c r="E62" i="10"/>
  <c r="D62" i="10"/>
  <c r="E60" i="10"/>
  <c r="E58" i="10"/>
  <c r="D58" i="10"/>
  <c r="E56" i="10"/>
  <c r="D56" i="10"/>
  <c r="D54" i="10"/>
  <c r="E52" i="10"/>
  <c r="E50" i="10"/>
  <c r="D50" i="10"/>
  <c r="D48" i="10"/>
  <c r="E46" i="10"/>
  <c r="D46" i="10"/>
  <c r="F42" i="10"/>
  <c r="F71" i="10" s="1"/>
  <c r="E42" i="10"/>
  <c r="E71" i="10" s="1"/>
  <c r="D42" i="10"/>
  <c r="D71" i="10" s="1"/>
  <c r="C42" i="10"/>
  <c r="C50" i="10" s="1"/>
  <c r="F41" i="10"/>
  <c r="E41" i="10"/>
  <c r="D41" i="10"/>
  <c r="C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B4" i="10"/>
  <c r="B5" i="10" s="1"/>
  <c r="B2" i="10"/>
  <c r="B3" i="10" s="1"/>
  <c r="M14" i="10" s="1"/>
  <c r="L17" i="10" s="1"/>
  <c r="B1" i="10"/>
  <c r="F54" i="7"/>
  <c r="D68" i="10" l="1"/>
  <c r="D60" i="10"/>
  <c r="D52" i="10"/>
  <c r="D70" i="10"/>
  <c r="C66" i="10"/>
  <c r="C56" i="10"/>
  <c r="C62" i="10"/>
  <c r="C68" i="10"/>
  <c r="C54" i="10"/>
  <c r="C60" i="10"/>
  <c r="C52" i="10"/>
  <c r="C58" i="10"/>
  <c r="K33" i="10"/>
  <c r="C46" i="10"/>
  <c r="C64" i="10"/>
  <c r="C70" i="10"/>
  <c r="C48" i="10"/>
  <c r="E48" i="10"/>
  <c r="E64" i="10"/>
  <c r="E54" i="10"/>
  <c r="E70" i="10"/>
  <c r="M33" i="10"/>
  <c r="M40" i="10" s="1"/>
  <c r="L33" i="10"/>
  <c r="M38" i="10" s="1"/>
  <c r="N33" i="10"/>
  <c r="F46" i="10"/>
  <c r="F48" i="10"/>
  <c r="F50" i="10"/>
  <c r="F52" i="10"/>
  <c r="F54" i="10"/>
  <c r="F56" i="10"/>
  <c r="F58" i="10"/>
  <c r="F60" i="10"/>
  <c r="F62" i="10"/>
  <c r="F64" i="10"/>
  <c r="F66" i="10"/>
  <c r="F68" i="10"/>
  <c r="F70" i="10"/>
  <c r="C47" i="10"/>
  <c r="C49" i="10"/>
  <c r="C51" i="10"/>
  <c r="C53" i="10"/>
  <c r="C55" i="10"/>
  <c r="C57" i="10"/>
  <c r="C59" i="10"/>
  <c r="C61" i="10"/>
  <c r="C63" i="10"/>
  <c r="C65" i="10"/>
  <c r="C67" i="10"/>
  <c r="C69" i="10"/>
  <c r="C71" i="10"/>
  <c r="H42" i="10"/>
  <c r="L13" i="10" s="1"/>
  <c r="D47" i="10"/>
  <c r="D49" i="10"/>
  <c r="D51" i="10"/>
  <c r="D53" i="10"/>
  <c r="D55" i="10"/>
  <c r="D57" i="10"/>
  <c r="D59" i="10"/>
  <c r="D61" i="10"/>
  <c r="D63" i="10"/>
  <c r="D65" i="10"/>
  <c r="D67" i="10"/>
  <c r="D69" i="10"/>
  <c r="M13" i="10"/>
  <c r="E43" i="10"/>
  <c r="E47" i="10"/>
  <c r="E49" i="10"/>
  <c r="E51" i="10"/>
  <c r="E53" i="10"/>
  <c r="E55" i="10"/>
  <c r="E57" i="10"/>
  <c r="E59" i="10"/>
  <c r="E61" i="10"/>
  <c r="E63" i="10"/>
  <c r="E65" i="10"/>
  <c r="E67" i="10"/>
  <c r="E69" i="10"/>
  <c r="F43" i="10"/>
  <c r="F47" i="10"/>
  <c r="F49" i="10"/>
  <c r="F51" i="10"/>
  <c r="F53" i="10"/>
  <c r="F55" i="10"/>
  <c r="F57" i="10"/>
  <c r="F59" i="10"/>
  <c r="F61" i="10"/>
  <c r="F63" i="10"/>
  <c r="F65" i="10"/>
  <c r="F67" i="10"/>
  <c r="F69" i="10"/>
  <c r="E43" i="6"/>
  <c r="E43" i="9"/>
  <c r="F43" i="9"/>
  <c r="F43" i="1"/>
  <c r="F43" i="6"/>
  <c r="F50" i="9"/>
  <c r="C50" i="9"/>
  <c r="F48" i="9"/>
  <c r="C46" i="9"/>
  <c r="F42" i="9"/>
  <c r="F71" i="9" s="1"/>
  <c r="E42" i="9"/>
  <c r="E71" i="9" s="1"/>
  <c r="D42" i="9"/>
  <c r="D71" i="9" s="1"/>
  <c r="C42" i="9"/>
  <c r="H42" i="9" s="1"/>
  <c r="F41" i="9"/>
  <c r="E41" i="9"/>
  <c r="D41" i="9"/>
  <c r="C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B4" i="9"/>
  <c r="B5" i="9" s="1"/>
  <c r="B3" i="9"/>
  <c r="M14" i="9" s="1"/>
  <c r="L17" i="9" s="1"/>
  <c r="B2" i="9"/>
  <c r="M13" i="9" s="1"/>
  <c r="B1" i="9"/>
  <c r="D54" i="7"/>
  <c r="D52" i="7"/>
  <c r="F42" i="7"/>
  <c r="F71" i="7" s="1"/>
  <c r="E42" i="7"/>
  <c r="E71" i="7" s="1"/>
  <c r="D42" i="7"/>
  <c r="D71" i="7" s="1"/>
  <c r="C42" i="7"/>
  <c r="C70" i="7" s="1"/>
  <c r="F41" i="7"/>
  <c r="E41" i="7"/>
  <c r="D41" i="7"/>
  <c r="C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B4" i="7"/>
  <c r="B5" i="7" s="1"/>
  <c r="B3" i="7"/>
  <c r="M14" i="7" s="1"/>
  <c r="L17" i="7" s="1"/>
  <c r="B2" i="7"/>
  <c r="M13" i="7" s="1"/>
  <c r="B1" i="7"/>
  <c r="C41" i="6"/>
  <c r="D41" i="6"/>
  <c r="E41" i="6"/>
  <c r="F41" i="6"/>
  <c r="E64" i="6"/>
  <c r="D64" i="6"/>
  <c r="E62" i="6"/>
  <c r="C62" i="6"/>
  <c r="E60" i="6"/>
  <c r="D58" i="6"/>
  <c r="E56" i="6"/>
  <c r="C56" i="6"/>
  <c r="E54" i="6"/>
  <c r="C54" i="6"/>
  <c r="E52" i="6"/>
  <c r="E50" i="6"/>
  <c r="E46" i="6"/>
  <c r="C46" i="6"/>
  <c r="F42" i="6"/>
  <c r="F71" i="6" s="1"/>
  <c r="E71" i="6"/>
  <c r="D42" i="6"/>
  <c r="D71" i="6" s="1"/>
  <c r="C42" i="6"/>
  <c r="C70" i="6" s="1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B4" i="6"/>
  <c r="B5" i="6" s="1"/>
  <c r="B3" i="6"/>
  <c r="M14" i="6" s="1"/>
  <c r="L17" i="6" s="1"/>
  <c r="B2" i="6"/>
  <c r="M13" i="6" s="1"/>
  <c r="B1" i="6"/>
  <c r="F48" i="1"/>
  <c r="F50" i="1"/>
  <c r="F52" i="1"/>
  <c r="F54" i="1"/>
  <c r="F56" i="1"/>
  <c r="F58" i="1"/>
  <c r="F60" i="1"/>
  <c r="F62" i="1"/>
  <c r="F64" i="1"/>
  <c r="F66" i="1"/>
  <c r="C68" i="1"/>
  <c r="F68" i="1"/>
  <c r="F70" i="1"/>
  <c r="E42" i="1"/>
  <c r="E52" i="1" s="1"/>
  <c r="D42" i="1"/>
  <c r="D59" i="1" s="1"/>
  <c r="F42" i="1"/>
  <c r="F47" i="1" s="1"/>
  <c r="C42" i="1"/>
  <c r="C50" i="1" s="1"/>
  <c r="D41" i="1"/>
  <c r="E41" i="1"/>
  <c r="F41" i="1"/>
  <c r="C4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11" i="1"/>
  <c r="B4" i="1"/>
  <c r="B2" i="1"/>
  <c r="B3" i="1" s="1"/>
  <c r="M24" i="1" l="1"/>
  <c r="M25" i="1"/>
  <c r="L28" i="1" s="1"/>
  <c r="M37" i="10"/>
  <c r="L14" i="10"/>
  <c r="N14" i="10" s="1"/>
  <c r="L16" i="10" s="1"/>
  <c r="L29" i="10" s="1"/>
  <c r="N29" i="10"/>
  <c r="O41" i="10" s="1"/>
  <c r="M29" i="10"/>
  <c r="L19" i="10"/>
  <c r="M15" i="10"/>
  <c r="M36" i="10"/>
  <c r="M41" i="10"/>
  <c r="M39" i="10"/>
  <c r="N13" i="10"/>
  <c r="O13" i="10" s="1"/>
  <c r="L15" i="10"/>
  <c r="C46" i="7"/>
  <c r="H43" i="7"/>
  <c r="D56" i="7"/>
  <c r="D46" i="7"/>
  <c r="D48" i="7"/>
  <c r="E56" i="1"/>
  <c r="E65" i="1"/>
  <c r="E47" i="1"/>
  <c r="E54" i="1"/>
  <c r="E43" i="1"/>
  <c r="E63" i="1"/>
  <c r="E70" i="1"/>
  <c r="E49" i="1"/>
  <c r="L33" i="9"/>
  <c r="C56" i="9"/>
  <c r="C58" i="9"/>
  <c r="C64" i="9"/>
  <c r="C48" i="9"/>
  <c r="C60" i="9"/>
  <c r="C62" i="9"/>
  <c r="C66" i="9"/>
  <c r="C52" i="9"/>
  <c r="C68" i="9"/>
  <c r="C54" i="9"/>
  <c r="C70" i="9"/>
  <c r="F52" i="9"/>
  <c r="M33" i="9"/>
  <c r="M37" i="9" s="1"/>
  <c r="F46" i="9"/>
  <c r="F54" i="9"/>
  <c r="L13" i="9"/>
  <c r="L19" i="9"/>
  <c r="M15" i="9"/>
  <c r="D46" i="9"/>
  <c r="D48" i="9"/>
  <c r="D50" i="9"/>
  <c r="D52" i="9"/>
  <c r="D54" i="9"/>
  <c r="D56" i="9"/>
  <c r="D58" i="9"/>
  <c r="D60" i="9"/>
  <c r="D62" i="9"/>
  <c r="D64" i="9"/>
  <c r="D66" i="9"/>
  <c r="D68" i="9"/>
  <c r="D70" i="9"/>
  <c r="K33" i="9"/>
  <c r="M38" i="9" s="1"/>
  <c r="E46" i="9"/>
  <c r="E48" i="9"/>
  <c r="E50" i="9"/>
  <c r="E52" i="9"/>
  <c r="E54" i="9"/>
  <c r="E56" i="9"/>
  <c r="E58" i="9"/>
  <c r="E60" i="9"/>
  <c r="E62" i="9"/>
  <c r="E64" i="9"/>
  <c r="E66" i="9"/>
  <c r="E68" i="9"/>
  <c r="E70" i="9"/>
  <c r="F56" i="9"/>
  <c r="F58" i="9"/>
  <c r="F60" i="9"/>
  <c r="F62" i="9"/>
  <c r="F64" i="9"/>
  <c r="F66" i="9"/>
  <c r="F68" i="9"/>
  <c r="F70" i="9"/>
  <c r="C47" i="9"/>
  <c r="C49" i="9"/>
  <c r="C51" i="9"/>
  <c r="C53" i="9"/>
  <c r="C55" i="9"/>
  <c r="C57" i="9"/>
  <c r="C59" i="9"/>
  <c r="C61" i="9"/>
  <c r="C63" i="9"/>
  <c r="C65" i="9"/>
  <c r="C67" i="9"/>
  <c r="C69" i="9"/>
  <c r="C71" i="9"/>
  <c r="N33" i="9"/>
  <c r="D47" i="9"/>
  <c r="D49" i="9"/>
  <c r="D51" i="9"/>
  <c r="D53" i="9"/>
  <c r="D55" i="9"/>
  <c r="D57" i="9"/>
  <c r="D59" i="9"/>
  <c r="D61" i="9"/>
  <c r="D63" i="9"/>
  <c r="D65" i="9"/>
  <c r="D67" i="9"/>
  <c r="D69" i="9"/>
  <c r="E47" i="9"/>
  <c r="E49" i="9"/>
  <c r="E51" i="9"/>
  <c r="E53" i="9"/>
  <c r="E55" i="9"/>
  <c r="E57" i="9"/>
  <c r="E59" i="9"/>
  <c r="E61" i="9"/>
  <c r="E63" i="9"/>
  <c r="E65" i="9"/>
  <c r="E67" i="9"/>
  <c r="E69" i="9"/>
  <c r="F47" i="9"/>
  <c r="F49" i="9"/>
  <c r="F51" i="9"/>
  <c r="F53" i="9"/>
  <c r="F55" i="9"/>
  <c r="F57" i="9"/>
  <c r="F59" i="9"/>
  <c r="F61" i="9"/>
  <c r="F63" i="9"/>
  <c r="F65" i="9"/>
  <c r="F67" i="9"/>
  <c r="F69" i="9"/>
  <c r="F52" i="7"/>
  <c r="F46" i="7"/>
  <c r="F48" i="7"/>
  <c r="C52" i="7"/>
  <c r="C58" i="7"/>
  <c r="C60" i="7"/>
  <c r="D58" i="7"/>
  <c r="D50" i="7"/>
  <c r="C62" i="7"/>
  <c r="C48" i="7"/>
  <c r="C54" i="7"/>
  <c r="C64" i="7"/>
  <c r="C66" i="7"/>
  <c r="C56" i="7"/>
  <c r="C68" i="7"/>
  <c r="C50" i="7"/>
  <c r="L33" i="7"/>
  <c r="F50" i="7"/>
  <c r="F56" i="7"/>
  <c r="H42" i="7"/>
  <c r="L13" i="7" s="1"/>
  <c r="N13" i="7" s="1"/>
  <c r="M33" i="7"/>
  <c r="N33" i="7"/>
  <c r="L19" i="7"/>
  <c r="M15" i="7"/>
  <c r="D60" i="7"/>
  <c r="D62" i="7"/>
  <c r="D64" i="7"/>
  <c r="D66" i="7"/>
  <c r="D68" i="7"/>
  <c r="D70" i="7"/>
  <c r="K33" i="7"/>
  <c r="E46" i="7"/>
  <c r="E48" i="7"/>
  <c r="E50" i="7"/>
  <c r="E52" i="7"/>
  <c r="E54" i="7"/>
  <c r="E56" i="7"/>
  <c r="E58" i="7"/>
  <c r="E60" i="7"/>
  <c r="E62" i="7"/>
  <c r="E64" i="7"/>
  <c r="E66" i="7"/>
  <c r="E68" i="7"/>
  <c r="E70" i="7"/>
  <c r="F58" i="7"/>
  <c r="F60" i="7"/>
  <c r="F62" i="7"/>
  <c r="F64" i="7"/>
  <c r="F66" i="7"/>
  <c r="F68" i="7"/>
  <c r="F70" i="7"/>
  <c r="C47" i="7"/>
  <c r="C49" i="7"/>
  <c r="C51" i="7"/>
  <c r="C53" i="7"/>
  <c r="C55" i="7"/>
  <c r="C57" i="7"/>
  <c r="C59" i="7"/>
  <c r="C61" i="7"/>
  <c r="C63" i="7"/>
  <c r="C65" i="7"/>
  <c r="C67" i="7"/>
  <c r="C69" i="7"/>
  <c r="C71" i="7"/>
  <c r="D47" i="7"/>
  <c r="D49" i="7"/>
  <c r="D51" i="7"/>
  <c r="D53" i="7"/>
  <c r="D55" i="7"/>
  <c r="D57" i="7"/>
  <c r="D59" i="7"/>
  <c r="D61" i="7"/>
  <c r="D63" i="7"/>
  <c r="D65" i="7"/>
  <c r="D67" i="7"/>
  <c r="D69" i="7"/>
  <c r="E47" i="7"/>
  <c r="E49" i="7"/>
  <c r="E51" i="7"/>
  <c r="E53" i="7"/>
  <c r="E55" i="7"/>
  <c r="E57" i="7"/>
  <c r="E59" i="7"/>
  <c r="E61" i="7"/>
  <c r="E63" i="7"/>
  <c r="E65" i="7"/>
  <c r="E67" i="7"/>
  <c r="E69" i="7"/>
  <c r="F47" i="7"/>
  <c r="F49" i="7"/>
  <c r="F51" i="7"/>
  <c r="F53" i="7"/>
  <c r="F55" i="7"/>
  <c r="F57" i="7"/>
  <c r="F59" i="7"/>
  <c r="F61" i="7"/>
  <c r="F63" i="7"/>
  <c r="F65" i="7"/>
  <c r="F67" i="7"/>
  <c r="F69" i="7"/>
  <c r="C64" i="6"/>
  <c r="C48" i="6"/>
  <c r="C50" i="6"/>
  <c r="C58" i="6"/>
  <c r="C66" i="6"/>
  <c r="C52" i="6"/>
  <c r="C60" i="6"/>
  <c r="C68" i="6"/>
  <c r="C49" i="1"/>
  <c r="C58" i="1"/>
  <c r="C71" i="1"/>
  <c r="C57" i="1"/>
  <c r="C53" i="1"/>
  <c r="C63" i="1"/>
  <c r="C62" i="1"/>
  <c r="C48" i="1"/>
  <c r="C61" i="1"/>
  <c r="C52" i="1"/>
  <c r="C54" i="1"/>
  <c r="C65" i="1"/>
  <c r="C56" i="1"/>
  <c r="C51" i="1"/>
  <c r="C47" i="1"/>
  <c r="C66" i="1"/>
  <c r="C70" i="1"/>
  <c r="C69" i="1"/>
  <c r="C60" i="1"/>
  <c r="C55" i="1"/>
  <c r="C67" i="1"/>
  <c r="C64" i="1"/>
  <c r="C59" i="1"/>
  <c r="D60" i="6"/>
  <c r="D50" i="6"/>
  <c r="D56" i="6"/>
  <c r="D62" i="6"/>
  <c r="D68" i="6"/>
  <c r="D48" i="6"/>
  <c r="D54" i="6"/>
  <c r="D66" i="6"/>
  <c r="D46" i="6"/>
  <c r="D52" i="6"/>
  <c r="D70" i="6"/>
  <c r="D67" i="1"/>
  <c r="D47" i="1"/>
  <c r="D70" i="1"/>
  <c r="D64" i="1"/>
  <c r="D61" i="1"/>
  <c r="D58" i="1"/>
  <c r="D55" i="1"/>
  <c r="D53" i="1"/>
  <c r="D52" i="1"/>
  <c r="D49" i="1"/>
  <c r="D56" i="1"/>
  <c r="D50" i="1"/>
  <c r="D69" i="1"/>
  <c r="D66" i="1"/>
  <c r="D57" i="1"/>
  <c r="D63" i="1"/>
  <c r="D60" i="1"/>
  <c r="D51" i="1"/>
  <c r="D62" i="1"/>
  <c r="D71" i="1"/>
  <c r="D54" i="1"/>
  <c r="D48" i="1"/>
  <c r="D68" i="1"/>
  <c r="D65" i="1"/>
  <c r="L33" i="6"/>
  <c r="F54" i="6"/>
  <c r="F50" i="6"/>
  <c r="F66" i="6"/>
  <c r="F46" i="6"/>
  <c r="E48" i="6"/>
  <c r="K33" i="6"/>
  <c r="E58" i="6"/>
  <c r="E67" i="1"/>
  <c r="E58" i="1"/>
  <c r="E51" i="1"/>
  <c r="E69" i="1"/>
  <c r="E60" i="1"/>
  <c r="E53" i="1"/>
  <c r="E71" i="1"/>
  <c r="E62" i="1"/>
  <c r="E55" i="1"/>
  <c r="E64" i="1"/>
  <c r="E57" i="1"/>
  <c r="E48" i="1"/>
  <c r="E66" i="1"/>
  <c r="E59" i="1"/>
  <c r="E50" i="1"/>
  <c r="E68" i="1"/>
  <c r="E61" i="1"/>
  <c r="F71" i="1"/>
  <c r="F69" i="1"/>
  <c r="F67" i="1"/>
  <c r="F65" i="1"/>
  <c r="F63" i="1"/>
  <c r="F61" i="1"/>
  <c r="F59" i="1"/>
  <c r="F57" i="1"/>
  <c r="F55" i="1"/>
  <c r="F53" i="1"/>
  <c r="F51" i="1"/>
  <c r="F49" i="1"/>
  <c r="F58" i="6"/>
  <c r="F62" i="6"/>
  <c r="H42" i="6"/>
  <c r="L13" i="6" s="1"/>
  <c r="F68" i="6"/>
  <c r="F48" i="6"/>
  <c r="F52" i="6"/>
  <c r="F56" i="6"/>
  <c r="F60" i="6"/>
  <c r="F64" i="6"/>
  <c r="F70" i="6"/>
  <c r="M15" i="6"/>
  <c r="L19" i="6"/>
  <c r="E66" i="6"/>
  <c r="E68" i="6"/>
  <c r="E70" i="6"/>
  <c r="M33" i="6"/>
  <c r="C47" i="6"/>
  <c r="C49" i="6"/>
  <c r="C51" i="6"/>
  <c r="C53" i="6"/>
  <c r="C55" i="6"/>
  <c r="C57" i="6"/>
  <c r="C59" i="6"/>
  <c r="C61" i="6"/>
  <c r="C63" i="6"/>
  <c r="C65" i="6"/>
  <c r="C67" i="6"/>
  <c r="C69" i="6"/>
  <c r="C71" i="6"/>
  <c r="N33" i="6"/>
  <c r="D47" i="6"/>
  <c r="D49" i="6"/>
  <c r="D51" i="6"/>
  <c r="D53" i="6"/>
  <c r="D55" i="6"/>
  <c r="D57" i="6"/>
  <c r="D59" i="6"/>
  <c r="D61" i="6"/>
  <c r="D63" i="6"/>
  <c r="D65" i="6"/>
  <c r="D67" i="6"/>
  <c r="D69" i="6"/>
  <c r="E47" i="6"/>
  <c r="E49" i="6"/>
  <c r="E51" i="6"/>
  <c r="E53" i="6"/>
  <c r="E55" i="6"/>
  <c r="E57" i="6"/>
  <c r="E59" i="6"/>
  <c r="E61" i="6"/>
  <c r="E63" i="6"/>
  <c r="E65" i="6"/>
  <c r="E67" i="6"/>
  <c r="E69" i="6"/>
  <c r="F47" i="6"/>
  <c r="F49" i="6"/>
  <c r="F51" i="6"/>
  <c r="F53" i="6"/>
  <c r="F55" i="6"/>
  <c r="F57" i="6"/>
  <c r="F59" i="6"/>
  <c r="F61" i="6"/>
  <c r="F63" i="6"/>
  <c r="F65" i="6"/>
  <c r="F67" i="6"/>
  <c r="F69" i="6"/>
  <c r="K44" i="1"/>
  <c r="L44" i="1"/>
  <c r="M44" i="1"/>
  <c r="N44" i="1"/>
  <c r="F46" i="1"/>
  <c r="E46" i="1"/>
  <c r="D46" i="1"/>
  <c r="H42" i="1"/>
  <c r="L24" i="1" s="1"/>
  <c r="C46" i="1"/>
  <c r="B5" i="1"/>
  <c r="M26" i="1" l="1"/>
  <c r="P24" i="1"/>
  <c r="N41" i="10"/>
  <c r="O39" i="10"/>
  <c r="O40" i="10"/>
  <c r="N40" i="10" s="1"/>
  <c r="N39" i="10"/>
  <c r="N15" i="10"/>
  <c r="O38" i="10"/>
  <c r="N38" i="10" s="1"/>
  <c r="O37" i="10"/>
  <c r="N37" i="10" s="1"/>
  <c r="O36" i="10"/>
  <c r="N36" i="10" s="1"/>
  <c r="M40" i="9"/>
  <c r="L14" i="9"/>
  <c r="N14" i="9" s="1"/>
  <c r="L16" i="9" s="1"/>
  <c r="N29" i="9" s="1"/>
  <c r="O41" i="9" s="1"/>
  <c r="M39" i="9"/>
  <c r="M41" i="9"/>
  <c r="M36" i="9"/>
  <c r="L15" i="9"/>
  <c r="N15" i="9" s="1"/>
  <c r="N13" i="9"/>
  <c r="O13" i="9" s="1"/>
  <c r="M37" i="7"/>
  <c r="M38" i="7"/>
  <c r="M39" i="7"/>
  <c r="L14" i="7"/>
  <c r="N14" i="7" s="1"/>
  <c r="L16" i="7" s="1"/>
  <c r="L29" i="7" s="1"/>
  <c r="M40" i="7"/>
  <c r="M41" i="7"/>
  <c r="M36" i="7"/>
  <c r="M38" i="6"/>
  <c r="L25" i="1"/>
  <c r="N25" i="1" s="1"/>
  <c r="L27" i="1" s="1"/>
  <c r="L14" i="6"/>
  <c r="N14" i="6" s="1"/>
  <c r="L16" i="6" s="1"/>
  <c r="L29" i="6" s="1"/>
  <c r="M39" i="6"/>
  <c r="M36" i="6"/>
  <c r="M41" i="6"/>
  <c r="M37" i="6"/>
  <c r="M40" i="6"/>
  <c r="N13" i="6"/>
  <c r="M49" i="1"/>
  <c r="M52" i="1"/>
  <c r="M48" i="1"/>
  <c r="M51" i="1"/>
  <c r="M47" i="1"/>
  <c r="M50" i="1"/>
  <c r="N24" i="1"/>
  <c r="L29" i="9" l="1"/>
  <c r="M29" i="9"/>
  <c r="O39" i="9" s="1"/>
  <c r="N39" i="9" s="1"/>
  <c r="N41" i="9"/>
  <c r="O40" i="9"/>
  <c r="N40" i="9" s="1"/>
  <c r="O37" i="9"/>
  <c r="N37" i="9" s="1"/>
  <c r="O38" i="9"/>
  <c r="N38" i="9" s="1"/>
  <c r="O36" i="9"/>
  <c r="N36" i="9" s="1"/>
  <c r="O37" i="7"/>
  <c r="N37" i="7" s="1"/>
  <c r="O36" i="7"/>
  <c r="N36" i="7" s="1"/>
  <c r="N29" i="7"/>
  <c r="O41" i="7" s="1"/>
  <c r="N41" i="7" s="1"/>
  <c r="M29" i="7"/>
  <c r="O40" i="7" s="1"/>
  <c r="N40" i="7" s="1"/>
  <c r="O13" i="7"/>
  <c r="L15" i="7"/>
  <c r="N15" i="7" s="1"/>
  <c r="O39" i="7"/>
  <c r="N39" i="7" s="1"/>
  <c r="O38" i="7"/>
  <c r="N38" i="7" s="1"/>
  <c r="O13" i="6"/>
  <c r="M29" i="6"/>
  <c r="N29" i="6"/>
  <c r="O41" i="6" s="1"/>
  <c r="N41" i="6" s="1"/>
  <c r="L15" i="6"/>
  <c r="N15" i="6" s="1"/>
  <c r="O39" i="6"/>
  <c r="N39" i="6" s="1"/>
  <c r="O40" i="6"/>
  <c r="N40" i="6" s="1"/>
  <c r="O37" i="6"/>
  <c r="N37" i="6" s="1"/>
  <c r="O38" i="6"/>
  <c r="N38" i="6" s="1"/>
  <c r="O36" i="6"/>
  <c r="N36" i="6" s="1"/>
  <c r="M40" i="1"/>
  <c r="L40" i="1"/>
  <c r="N40" i="1"/>
  <c r="O52" i="1" s="1"/>
  <c r="N52" i="1" s="1"/>
  <c r="O24" i="1"/>
  <c r="L26" i="1"/>
  <c r="N26" i="1" s="1"/>
  <c r="O49" i="1" l="1"/>
  <c r="N49" i="1" s="1"/>
  <c r="O47" i="1"/>
  <c r="N47" i="1" s="1"/>
  <c r="O48" i="1"/>
  <c r="N48" i="1" s="1"/>
  <c r="O50" i="1"/>
  <c r="N50" i="1" s="1"/>
  <c r="O51" i="1"/>
  <c r="N51" i="1" s="1"/>
</calcChain>
</file>

<file path=xl/sharedStrings.xml><?xml version="1.0" encoding="utf-8"?>
<sst xmlns="http://schemas.openxmlformats.org/spreadsheetml/2006/main" count="396" uniqueCount="94">
  <si>
    <t>Multi-clustering SKU-to-Rack Policy</t>
  </si>
  <si>
    <t>Temporal demand pattern and correlation degree optimized SKU-to-Rack policy</t>
  </si>
  <si>
    <t>Correlation degree optimized SKU-to-Rack policy</t>
  </si>
  <si>
    <t>Random policy</t>
  </si>
  <si>
    <t>seed_pair</t>
  </si>
  <si>
    <t>42_42</t>
  </si>
  <si>
    <t>42_43</t>
  </si>
  <si>
    <t>42_44</t>
  </si>
  <si>
    <t>43_42</t>
  </si>
  <si>
    <t>43_43</t>
  </si>
  <si>
    <t>43_44</t>
  </si>
  <si>
    <t>44_42</t>
  </si>
  <si>
    <t>44_43</t>
  </si>
  <si>
    <t>44_44</t>
  </si>
  <si>
    <t>45_44</t>
  </si>
  <si>
    <t>45_42</t>
  </si>
  <si>
    <t>45_43</t>
  </si>
  <si>
    <t>Replication</t>
  </si>
  <si>
    <t>46_42</t>
  </si>
  <si>
    <t>46_43</t>
  </si>
  <si>
    <t>46_44</t>
  </si>
  <si>
    <t>47_44</t>
  </si>
  <si>
    <t>47_42</t>
  </si>
  <si>
    <t>47_43</t>
  </si>
  <si>
    <t>48_42</t>
  </si>
  <si>
    <t>48_43</t>
  </si>
  <si>
    <t>48_44</t>
  </si>
  <si>
    <t>49_42</t>
  </si>
  <si>
    <t>49_43</t>
  </si>
  <si>
    <t>49_44</t>
  </si>
  <si>
    <t>50_42</t>
  </si>
  <si>
    <t>50_43</t>
  </si>
  <si>
    <t>50_44</t>
  </si>
  <si>
    <t>51_42</t>
  </si>
  <si>
    <t>51_43</t>
  </si>
  <si>
    <t>51_44</t>
  </si>
  <si>
    <t>b</t>
  </si>
  <si>
    <t>k</t>
  </si>
  <si>
    <t>N</t>
  </si>
  <si>
    <t>Total</t>
  </si>
  <si>
    <t>C</t>
  </si>
  <si>
    <t>R</t>
  </si>
  <si>
    <t>CD</t>
  </si>
  <si>
    <t>Variance Source</t>
  </si>
  <si>
    <t>Sum squared error</t>
  </si>
  <si>
    <t>d.o.f</t>
  </si>
  <si>
    <t>Squared Average</t>
  </si>
  <si>
    <t>calculated f</t>
  </si>
  <si>
    <t>Treatment</t>
  </si>
  <si>
    <t>Error</t>
  </si>
  <si>
    <t>yij - ybari)^2</t>
  </si>
  <si>
    <t>F tabel (0,05, 3, 476)</t>
  </si>
  <si>
    <t>H0</t>
  </si>
  <si>
    <t>H1</t>
  </si>
  <si>
    <t>One of the average is not the same</t>
  </si>
  <si>
    <t>Average is the same</t>
  </si>
  <si>
    <t>Since F &gt; F Table</t>
  </si>
  <si>
    <t>Reject H0</t>
  </si>
  <si>
    <t>Duncan Test</t>
  </si>
  <si>
    <t>Perhitungan Rp</t>
  </si>
  <si>
    <t>p</t>
  </si>
  <si>
    <t>rp</t>
  </si>
  <si>
    <t>Rp</t>
  </si>
  <si>
    <t>Selisih Rataan</t>
  </si>
  <si>
    <t>p = 2</t>
  </si>
  <si>
    <t>p = 3</t>
  </si>
  <si>
    <t>p = 4</t>
  </si>
  <si>
    <t>4-1</t>
  </si>
  <si>
    <t>4-2</t>
  </si>
  <si>
    <t>4-3</t>
  </si>
  <si>
    <t>3-2</t>
  </si>
  <si>
    <t>2-1</t>
  </si>
  <si>
    <t>3-1</t>
  </si>
  <si>
    <t>Sample</t>
  </si>
  <si>
    <t>Calculated Rp</t>
  </si>
  <si>
    <t>Successful Simulation: 100.000 ticks</t>
  </si>
  <si>
    <t>Group</t>
  </si>
  <si>
    <t>Throughput</t>
  </si>
  <si>
    <t>Pile-on</t>
  </si>
  <si>
    <t>ANOVA</t>
  </si>
  <si>
    <t>Source of VariationVariation</t>
  </si>
  <si>
    <t>df</t>
  </si>
  <si>
    <t>SS</t>
  </si>
  <si>
    <t>Average</t>
  </si>
  <si>
    <t>F</t>
  </si>
  <si>
    <t>MS</t>
  </si>
  <si>
    <t>F crit</t>
  </si>
  <si>
    <t>Summary</t>
  </si>
  <si>
    <t>Count</t>
  </si>
  <si>
    <t>Sum</t>
  </si>
  <si>
    <t>Variance</t>
  </si>
  <si>
    <t>Bechmark policy</t>
  </si>
  <si>
    <t>Baseline policy</t>
  </si>
  <si>
    <t>Proposed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</si>
</sst>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16" fontId="0" fillId="0" borderId="0" xfId="0" quotePrefix="1" applyNumberFormat="1"/>
    <xf numFmtId="0" fontId="0" fillId="0" borderId="0" xfId="0" quotePrefix="1"/>
    <xf numFmtId="10" fontId="0" fillId="0" borderId="0" xfId="1" applyNumberFormat="1" applyFont="1"/>
    <xf numFmtId="0" fontId="0" fillId="0" borderId="0" xfId="0" applyAlignment="1">
      <alignment horizontal="center"/>
    </xf>
    <xf numFmtId="167" fontId="0" fillId="0" borderId="0" xfId="0" applyNumberFormat="1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167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C2C6-FFA4-4150-AFD3-2EF5A926386B}">
  <dimension ref="A1:L105"/>
  <sheetViews>
    <sheetView topLeftCell="A57" zoomScale="85" zoomScaleNormal="85" workbookViewId="0">
      <selection activeCell="R100" sqref="R100"/>
    </sheetView>
  </sheetViews>
  <sheetFormatPr defaultRowHeight="14.4" x14ac:dyDescent="0.3"/>
  <cols>
    <col min="1" max="1" width="8" bestFit="1" customWidth="1"/>
    <col min="2" max="2" width="9" bestFit="1" customWidth="1"/>
    <col min="3" max="6" width="16.88671875" customWidth="1"/>
    <col min="12" max="12" width="14.44140625" bestFit="1" customWidth="1"/>
    <col min="14" max="14" width="14.6640625" bestFit="1" customWidth="1"/>
  </cols>
  <sheetData>
    <row r="1" spans="1:6" x14ac:dyDescent="0.3">
      <c r="A1" t="s">
        <v>77</v>
      </c>
      <c r="B1" t="s">
        <v>76</v>
      </c>
      <c r="E1" t="s">
        <v>78</v>
      </c>
      <c r="F1" t="s">
        <v>76</v>
      </c>
    </row>
    <row r="2" spans="1:6" x14ac:dyDescent="0.3">
      <c r="A2">
        <v>0.99683329600000004</v>
      </c>
      <c r="B2">
        <v>1</v>
      </c>
      <c r="E2">
        <v>1.132549332</v>
      </c>
      <c r="F2">
        <v>1</v>
      </c>
    </row>
    <row r="3" spans="1:6" x14ac:dyDescent="0.3">
      <c r="A3">
        <v>0.996380909296539</v>
      </c>
      <c r="B3">
        <v>1</v>
      </c>
      <c r="E3">
        <v>1.1360863913608601</v>
      </c>
      <c r="F3">
        <v>1</v>
      </c>
    </row>
    <row r="4" spans="1:6" x14ac:dyDescent="0.3">
      <c r="A4">
        <v>0.99683329563447098</v>
      </c>
      <c r="B4">
        <v>1</v>
      </c>
      <c r="E4">
        <v>1.1334530221424199</v>
      </c>
      <c r="F4">
        <v>1</v>
      </c>
    </row>
    <row r="5" spans="1:6" x14ac:dyDescent="0.3">
      <c r="A5">
        <v>0.98178032299999995</v>
      </c>
      <c r="B5">
        <v>1</v>
      </c>
      <c r="E5">
        <v>1.1331875220000001</v>
      </c>
      <c r="F5">
        <v>1</v>
      </c>
    </row>
    <row r="6" spans="1:6" x14ac:dyDescent="0.3">
      <c r="A6">
        <v>0.97995835502342499</v>
      </c>
      <c r="B6">
        <v>1</v>
      </c>
      <c r="E6">
        <v>1.13079489244219</v>
      </c>
      <c r="F6">
        <v>1</v>
      </c>
    </row>
    <row r="7" spans="1:6" x14ac:dyDescent="0.3">
      <c r="A7">
        <v>0.97579385736595503</v>
      </c>
      <c r="B7">
        <v>1</v>
      </c>
      <c r="E7">
        <v>1.1269111392114</v>
      </c>
      <c r="F7">
        <v>1</v>
      </c>
    </row>
    <row r="8" spans="1:6" x14ac:dyDescent="0.3">
      <c r="A8">
        <v>0.99842413299999999</v>
      </c>
      <c r="B8">
        <v>1</v>
      </c>
      <c r="E8">
        <v>1.1361768729999999</v>
      </c>
      <c r="F8">
        <v>1</v>
      </c>
    </row>
    <row r="9" spans="1:6" x14ac:dyDescent="0.3">
      <c r="A9">
        <v>0.99887438090949998</v>
      </c>
      <c r="B9">
        <v>1</v>
      </c>
      <c r="C9" s="2"/>
      <c r="D9" s="2"/>
      <c r="E9">
        <v>1.13526192337763</v>
      </c>
      <c r="F9">
        <v>1</v>
      </c>
    </row>
    <row r="10" spans="1:6" x14ac:dyDescent="0.3">
      <c r="A10">
        <v>0.99887438090949998</v>
      </c>
      <c r="B10">
        <v>1</v>
      </c>
      <c r="C10" s="1"/>
      <c r="D10" s="1"/>
      <c r="E10">
        <v>1.1332682926829201</v>
      </c>
      <c r="F10">
        <v>1</v>
      </c>
    </row>
    <row r="11" spans="1:6" x14ac:dyDescent="0.3">
      <c r="A11">
        <v>0.99208443300000004</v>
      </c>
      <c r="B11">
        <v>1</v>
      </c>
      <c r="E11">
        <v>1.134994557</v>
      </c>
      <c r="F11">
        <v>1</v>
      </c>
    </row>
    <row r="12" spans="1:6" x14ac:dyDescent="0.3">
      <c r="A12">
        <v>0.99261213720316599</v>
      </c>
      <c r="B12">
        <v>1</v>
      </c>
      <c r="E12">
        <v>1.11993788077887</v>
      </c>
      <c r="F12">
        <v>1</v>
      </c>
    </row>
    <row r="13" spans="1:6" x14ac:dyDescent="0.3">
      <c r="A13">
        <v>0.99155672823218999</v>
      </c>
      <c r="B13">
        <v>1</v>
      </c>
      <c r="E13">
        <v>1.1282514450867001</v>
      </c>
      <c r="F13">
        <v>1</v>
      </c>
    </row>
    <row r="14" spans="1:6" x14ac:dyDescent="0.3">
      <c r="A14">
        <v>0.95902265200000003</v>
      </c>
      <c r="B14">
        <v>1</v>
      </c>
      <c r="E14">
        <v>1.131588469</v>
      </c>
      <c r="F14">
        <v>1</v>
      </c>
    </row>
    <row r="15" spans="1:6" x14ac:dyDescent="0.3">
      <c r="A15">
        <v>0.95724102825146296</v>
      </c>
      <c r="B15">
        <v>1</v>
      </c>
      <c r="E15">
        <v>1.13120695904313</v>
      </c>
      <c r="F15">
        <v>1</v>
      </c>
    </row>
    <row r="16" spans="1:6" x14ac:dyDescent="0.3">
      <c r="A16">
        <v>0.99876619370758701</v>
      </c>
      <c r="B16">
        <v>1</v>
      </c>
      <c r="E16">
        <v>1.1262541063659699</v>
      </c>
      <c r="F16">
        <v>1</v>
      </c>
    </row>
    <row r="17" spans="1:12" x14ac:dyDescent="0.3">
      <c r="A17">
        <v>0.99876619370758701</v>
      </c>
      <c r="B17">
        <v>1</v>
      </c>
      <c r="E17">
        <v>1.1343110077796601</v>
      </c>
      <c r="F17">
        <v>1</v>
      </c>
    </row>
    <row r="18" spans="1:12" x14ac:dyDescent="0.3">
      <c r="A18">
        <v>0.98526660430308699</v>
      </c>
      <c r="B18">
        <v>1</v>
      </c>
      <c r="E18">
        <v>1.11964343249919</v>
      </c>
      <c r="F18">
        <v>1</v>
      </c>
    </row>
    <row r="19" spans="1:12" x14ac:dyDescent="0.3">
      <c r="A19">
        <v>0.98503274087932602</v>
      </c>
      <c r="B19">
        <v>1</v>
      </c>
      <c r="E19">
        <v>1.11441085354128</v>
      </c>
      <c r="F19">
        <v>1</v>
      </c>
    </row>
    <row r="20" spans="1:12" x14ac:dyDescent="0.3">
      <c r="A20">
        <v>0.99708576199999999</v>
      </c>
      <c r="B20">
        <v>1</v>
      </c>
      <c r="E20">
        <v>1.1258278150000001</v>
      </c>
      <c r="F20">
        <v>1</v>
      </c>
    </row>
    <row r="21" spans="1:12" x14ac:dyDescent="0.3">
      <c r="A21">
        <v>0.997085761865112</v>
      </c>
      <c r="B21">
        <v>1</v>
      </c>
      <c r="E21">
        <v>1.12582781456953</v>
      </c>
      <c r="F21">
        <v>1</v>
      </c>
    </row>
    <row r="22" spans="1:12" x14ac:dyDescent="0.3">
      <c r="A22">
        <v>0.997085761865112</v>
      </c>
      <c r="B22">
        <v>1</v>
      </c>
      <c r="E22">
        <v>1.1176152737752101</v>
      </c>
      <c r="F22">
        <v>1</v>
      </c>
    </row>
    <row r="23" spans="1:12" x14ac:dyDescent="0.3">
      <c r="A23">
        <v>0.98490098999999998</v>
      </c>
      <c r="B23">
        <v>1</v>
      </c>
      <c r="E23">
        <v>1.136492684</v>
      </c>
      <c r="F23">
        <v>1</v>
      </c>
    </row>
    <row r="24" spans="1:12" x14ac:dyDescent="0.3">
      <c r="A24">
        <v>0.98688118811881098</v>
      </c>
      <c r="B24">
        <v>1</v>
      </c>
      <c r="E24">
        <v>1.12974614883922</v>
      </c>
      <c r="F24">
        <v>1</v>
      </c>
    </row>
    <row r="25" spans="1:12" x14ac:dyDescent="0.3">
      <c r="A25">
        <v>0.98514851485148502</v>
      </c>
      <c r="B25">
        <v>1</v>
      </c>
      <c r="E25">
        <v>1.1289202387411801</v>
      </c>
      <c r="F25">
        <v>1</v>
      </c>
    </row>
    <row r="26" spans="1:12" x14ac:dyDescent="0.3">
      <c r="A26">
        <v>0.99862041800000001</v>
      </c>
      <c r="B26">
        <v>1</v>
      </c>
      <c r="E26">
        <v>1.1340563610000001</v>
      </c>
      <c r="F26">
        <v>1</v>
      </c>
    </row>
    <row r="27" spans="1:12" x14ac:dyDescent="0.3">
      <c r="A27">
        <v>0.99862041781631805</v>
      </c>
      <c r="B27">
        <v>1</v>
      </c>
      <c r="E27">
        <v>1.1162933146657299</v>
      </c>
      <c r="F27">
        <v>1</v>
      </c>
    </row>
    <row r="28" spans="1:12" x14ac:dyDescent="0.3">
      <c r="A28">
        <v>0.99163085299999998</v>
      </c>
      <c r="B28">
        <v>2</v>
      </c>
      <c r="E28">
        <v>0.93231098999999995</v>
      </c>
      <c r="F28">
        <v>2</v>
      </c>
      <c r="L28" s="3"/>
    </row>
    <row r="29" spans="1:12" x14ac:dyDescent="0.3">
      <c r="A29">
        <v>0.99321420493101098</v>
      </c>
      <c r="B29">
        <v>2</v>
      </c>
      <c r="E29">
        <v>0.997095837366892</v>
      </c>
      <c r="F29">
        <v>2</v>
      </c>
    </row>
    <row r="30" spans="1:12" x14ac:dyDescent="0.3">
      <c r="A30">
        <v>0.98574983035512298</v>
      </c>
      <c r="B30">
        <v>2</v>
      </c>
      <c r="E30">
        <v>0.94733299680296101</v>
      </c>
      <c r="F30">
        <v>2</v>
      </c>
    </row>
    <row r="31" spans="1:12" x14ac:dyDescent="0.3">
      <c r="A31">
        <v>0.96304008299999999</v>
      </c>
      <c r="B31">
        <v>2</v>
      </c>
      <c r="E31">
        <v>0.97354709399999995</v>
      </c>
      <c r="F31">
        <v>2</v>
      </c>
    </row>
    <row r="32" spans="1:12" x14ac:dyDescent="0.3">
      <c r="A32">
        <v>0.95913586673607498</v>
      </c>
      <c r="B32">
        <v>2</v>
      </c>
      <c r="E32">
        <v>0.99927611168562502</v>
      </c>
      <c r="F32">
        <v>2</v>
      </c>
    </row>
    <row r="33" spans="1:12" x14ac:dyDescent="0.3">
      <c r="A33">
        <v>0.96460176991150404</v>
      </c>
      <c r="B33">
        <v>2</v>
      </c>
      <c r="E33">
        <v>1.05619440225645</v>
      </c>
      <c r="F33">
        <v>2</v>
      </c>
    </row>
    <row r="34" spans="1:12" x14ac:dyDescent="0.3">
      <c r="A34">
        <v>0.99212066600000004</v>
      </c>
      <c r="B34">
        <v>2</v>
      </c>
      <c r="E34">
        <v>1.0402164110000001</v>
      </c>
      <c r="F34">
        <v>2</v>
      </c>
    </row>
    <row r="35" spans="1:12" x14ac:dyDescent="0.3">
      <c r="A35">
        <v>0.99752363800090005</v>
      </c>
      <c r="B35">
        <v>2</v>
      </c>
      <c r="E35">
        <v>1.10466222645099</v>
      </c>
      <c r="F35">
        <v>2</v>
      </c>
    </row>
    <row r="36" spans="1:12" x14ac:dyDescent="0.3">
      <c r="A36">
        <v>0.99887438090949998</v>
      </c>
      <c r="B36">
        <v>2</v>
      </c>
      <c r="E36">
        <v>1.1114725863553701</v>
      </c>
      <c r="F36">
        <v>2</v>
      </c>
      <c r="L36" s="4"/>
    </row>
    <row r="37" spans="1:12" x14ac:dyDescent="0.3">
      <c r="A37">
        <v>0.97572559400000003</v>
      </c>
      <c r="B37">
        <v>2</v>
      </c>
      <c r="E37">
        <v>1.0653700079999999</v>
      </c>
      <c r="F37">
        <v>2</v>
      </c>
      <c r="L37" s="5"/>
    </row>
    <row r="38" spans="1:12" x14ac:dyDescent="0.3">
      <c r="A38">
        <v>0.97810026385224202</v>
      </c>
      <c r="B38">
        <v>2</v>
      </c>
      <c r="E38">
        <v>1.0990649781039099</v>
      </c>
      <c r="F38">
        <v>2</v>
      </c>
      <c r="L38" s="5"/>
    </row>
    <row r="39" spans="1:12" x14ac:dyDescent="0.3">
      <c r="A39">
        <v>0.98047493403693897</v>
      </c>
      <c r="B39">
        <v>2</v>
      </c>
      <c r="E39">
        <v>1.08357617437929</v>
      </c>
      <c r="F39">
        <v>2</v>
      </c>
      <c r="L39" s="5"/>
    </row>
    <row r="40" spans="1:12" x14ac:dyDescent="0.3">
      <c r="A40">
        <v>0.94451514380249402</v>
      </c>
      <c r="B40">
        <v>2</v>
      </c>
      <c r="E40">
        <v>0.97277982133473395</v>
      </c>
      <c r="F40">
        <v>2</v>
      </c>
      <c r="L40" s="5"/>
    </row>
    <row r="41" spans="1:12" x14ac:dyDescent="0.3">
      <c r="A41">
        <v>0.94935097989310202</v>
      </c>
      <c r="B41">
        <v>2</v>
      </c>
      <c r="E41">
        <v>1.0221953631469001</v>
      </c>
      <c r="F41">
        <v>2</v>
      </c>
      <c r="L41" s="5"/>
    </row>
    <row r="42" spans="1:12" x14ac:dyDescent="0.3">
      <c r="A42">
        <v>0.997121119</v>
      </c>
      <c r="B42">
        <v>2</v>
      </c>
      <c r="E42">
        <v>0.90647121900000005</v>
      </c>
      <c r="F42">
        <v>2</v>
      </c>
    </row>
    <row r="43" spans="1:12" x14ac:dyDescent="0.3">
      <c r="A43">
        <v>0.99650421550483204</v>
      </c>
      <c r="B43">
        <v>2</v>
      </c>
      <c r="E43">
        <v>0.95775712234565102</v>
      </c>
      <c r="F43">
        <v>2</v>
      </c>
    </row>
    <row r="44" spans="1:12" x14ac:dyDescent="0.3">
      <c r="A44">
        <v>0.99773802179724402</v>
      </c>
      <c r="B44">
        <v>2</v>
      </c>
      <c r="E44">
        <v>1.00626934370288</v>
      </c>
      <c r="F44">
        <v>2</v>
      </c>
    </row>
    <row r="45" spans="1:12" x14ac:dyDescent="0.3">
      <c r="A45">
        <v>0.96889616499999998</v>
      </c>
      <c r="B45">
        <v>2</v>
      </c>
      <c r="E45">
        <v>1.0221230160000001</v>
      </c>
      <c r="F45">
        <v>2</v>
      </c>
    </row>
    <row r="46" spans="1:12" x14ac:dyDescent="0.3">
      <c r="A46">
        <v>0.980589335827876</v>
      </c>
      <c r="B46">
        <v>2</v>
      </c>
      <c r="E46">
        <v>1.0613496932515301</v>
      </c>
      <c r="F46">
        <v>2</v>
      </c>
    </row>
    <row r="47" spans="1:12" x14ac:dyDescent="0.3">
      <c r="A47">
        <v>0.98292797006548105</v>
      </c>
      <c r="B47">
        <v>2</v>
      </c>
      <c r="E47">
        <v>1.0842017507294699</v>
      </c>
      <c r="F47">
        <v>2</v>
      </c>
    </row>
    <row r="48" spans="1:12" x14ac:dyDescent="0.3">
      <c r="A48">
        <v>0.99625312239800101</v>
      </c>
      <c r="B48">
        <v>2</v>
      </c>
      <c r="E48">
        <v>1.05421481985044</v>
      </c>
      <c r="F48">
        <v>2</v>
      </c>
    </row>
    <row r="49" spans="1:6" x14ac:dyDescent="0.3">
      <c r="A49">
        <v>0.98069306899999997</v>
      </c>
      <c r="B49">
        <v>2</v>
      </c>
      <c r="E49">
        <v>1.0404141950000001</v>
      </c>
      <c r="F49">
        <v>2</v>
      </c>
    </row>
    <row r="50" spans="1:6" x14ac:dyDescent="0.3">
      <c r="A50">
        <v>0.978465346534653</v>
      </c>
      <c r="B50">
        <v>2</v>
      </c>
      <c r="E50">
        <v>1.0603164817098201</v>
      </c>
      <c r="F50">
        <v>2</v>
      </c>
    </row>
    <row r="51" spans="1:6" x14ac:dyDescent="0.3">
      <c r="A51">
        <v>0.96782178217821702</v>
      </c>
      <c r="B51">
        <v>2</v>
      </c>
      <c r="E51">
        <v>1.0406686372439</v>
      </c>
      <c r="F51">
        <v>2</v>
      </c>
    </row>
    <row r="52" spans="1:6" x14ac:dyDescent="0.3">
      <c r="A52">
        <v>0.99802916830902599</v>
      </c>
      <c r="B52">
        <v>2</v>
      </c>
      <c r="E52">
        <v>1.0342199156665499</v>
      </c>
      <c r="F52">
        <v>2</v>
      </c>
    </row>
    <row r="53" spans="1:6" x14ac:dyDescent="0.3">
      <c r="A53">
        <v>0.99822625147812305</v>
      </c>
      <c r="B53">
        <v>2</v>
      </c>
      <c r="E53">
        <v>1.03129042690815</v>
      </c>
      <c r="F53">
        <v>2</v>
      </c>
    </row>
    <row r="54" spans="1:6" x14ac:dyDescent="0.3">
      <c r="A54">
        <v>0.99705948899999997</v>
      </c>
      <c r="B54">
        <v>3</v>
      </c>
      <c r="E54">
        <v>1.1490243659999999</v>
      </c>
      <c r="F54">
        <v>3</v>
      </c>
    </row>
    <row r="55" spans="1:6" x14ac:dyDescent="0.3">
      <c r="A55">
        <v>0.99705948880343798</v>
      </c>
      <c r="B55">
        <v>3</v>
      </c>
      <c r="E55">
        <v>1.14960550273113</v>
      </c>
      <c r="F55">
        <v>3</v>
      </c>
    </row>
    <row r="56" spans="1:6" x14ac:dyDescent="0.3">
      <c r="A56">
        <v>0.99705948880343798</v>
      </c>
      <c r="B56">
        <v>3</v>
      </c>
      <c r="E56">
        <v>1.1474003028773301</v>
      </c>
      <c r="F56">
        <v>3</v>
      </c>
    </row>
    <row r="57" spans="1:6" x14ac:dyDescent="0.3">
      <c r="A57">
        <v>0.98152004199999998</v>
      </c>
      <c r="B57">
        <v>3</v>
      </c>
      <c r="E57">
        <v>1.1440530170000001</v>
      </c>
      <c r="F57">
        <v>3</v>
      </c>
    </row>
    <row r="58" spans="1:6" x14ac:dyDescent="0.3">
      <c r="A58">
        <v>0.97787610619469001</v>
      </c>
      <c r="B58">
        <v>3</v>
      </c>
      <c r="E58">
        <v>1.1411463783281</v>
      </c>
      <c r="F58">
        <v>3</v>
      </c>
    </row>
    <row r="59" spans="1:6" x14ac:dyDescent="0.3">
      <c r="A59">
        <v>0.98125976054138397</v>
      </c>
      <c r="B59">
        <v>3</v>
      </c>
      <c r="E59">
        <v>1.1463869463869401</v>
      </c>
      <c r="F59">
        <v>3</v>
      </c>
    </row>
    <row r="60" spans="1:6" x14ac:dyDescent="0.3">
      <c r="A60">
        <v>0.99887438100000003</v>
      </c>
      <c r="B60">
        <v>3</v>
      </c>
      <c r="E60">
        <v>1.158356602</v>
      </c>
      <c r="F60">
        <v>3</v>
      </c>
    </row>
    <row r="61" spans="1:6" x14ac:dyDescent="0.3">
      <c r="A61">
        <v>0.99887438090949998</v>
      </c>
      <c r="B61">
        <v>3</v>
      </c>
      <c r="E61">
        <v>1.1604395604395601</v>
      </c>
      <c r="F61">
        <v>3</v>
      </c>
    </row>
    <row r="62" spans="1:6" x14ac:dyDescent="0.3">
      <c r="A62">
        <v>0.99887438090949998</v>
      </c>
      <c r="B62">
        <v>3</v>
      </c>
      <c r="E62">
        <v>1.1581256231306001</v>
      </c>
      <c r="F62">
        <v>3</v>
      </c>
    </row>
    <row r="63" spans="1:6" x14ac:dyDescent="0.3">
      <c r="A63">
        <v>0.99419525099999995</v>
      </c>
      <c r="B63">
        <v>3</v>
      </c>
      <c r="E63">
        <v>1.142509432</v>
      </c>
      <c r="F63">
        <v>3</v>
      </c>
    </row>
    <row r="64" spans="1:6" x14ac:dyDescent="0.3">
      <c r="A64">
        <v>0.99313984168865399</v>
      </c>
      <c r="B64">
        <v>3</v>
      </c>
      <c r="E64">
        <v>1.1391283234187199</v>
      </c>
      <c r="F64">
        <v>3</v>
      </c>
    </row>
    <row r="65" spans="1:6" x14ac:dyDescent="0.3">
      <c r="A65">
        <v>0.99366754617414199</v>
      </c>
      <c r="B65">
        <v>3</v>
      </c>
      <c r="E65">
        <v>1.13575317604355</v>
      </c>
      <c r="F65">
        <v>3</v>
      </c>
    </row>
    <row r="66" spans="1:6" x14ac:dyDescent="0.3">
      <c r="A66">
        <v>0.96029524099999997</v>
      </c>
      <c r="B66">
        <v>3</v>
      </c>
      <c r="E66">
        <v>1.1392190149999999</v>
      </c>
      <c r="F66">
        <v>3</v>
      </c>
    </row>
    <row r="67" spans="1:6" x14ac:dyDescent="0.3">
      <c r="A67">
        <v>0.95851361669636004</v>
      </c>
      <c r="B67">
        <v>3</v>
      </c>
      <c r="E67">
        <v>1.1367272727272699</v>
      </c>
      <c r="F67">
        <v>3</v>
      </c>
    </row>
    <row r="68" spans="1:6" x14ac:dyDescent="0.3">
      <c r="A68">
        <v>0.95800458131840105</v>
      </c>
      <c r="B68">
        <v>3</v>
      </c>
      <c r="E68">
        <v>1.1404938571949801</v>
      </c>
      <c r="F68">
        <v>3</v>
      </c>
    </row>
    <row r="69" spans="1:6" x14ac:dyDescent="0.3">
      <c r="A69">
        <v>0.998766194</v>
      </c>
      <c r="B69">
        <v>3</v>
      </c>
      <c r="E69">
        <v>1.1500453310000001</v>
      </c>
      <c r="F69">
        <v>3</v>
      </c>
    </row>
    <row r="70" spans="1:6" x14ac:dyDescent="0.3">
      <c r="A70">
        <v>0.99876619370758701</v>
      </c>
      <c r="B70">
        <v>3</v>
      </c>
      <c r="E70">
        <v>1.1517159978209499</v>
      </c>
      <c r="F70">
        <v>3</v>
      </c>
    </row>
    <row r="71" spans="1:6" x14ac:dyDescent="0.3">
      <c r="A71">
        <v>0.98690364826941002</v>
      </c>
      <c r="B71">
        <v>3</v>
      </c>
      <c r="E71">
        <v>1.13748774376293</v>
      </c>
      <c r="F71">
        <v>3</v>
      </c>
    </row>
    <row r="72" spans="1:6" x14ac:dyDescent="0.3">
      <c r="A72">
        <v>0.99708576199999999</v>
      </c>
      <c r="B72">
        <v>3</v>
      </c>
      <c r="E72">
        <v>1.159163086</v>
      </c>
      <c r="F72">
        <v>3</v>
      </c>
    </row>
    <row r="73" spans="1:6" x14ac:dyDescent="0.3">
      <c r="A73">
        <v>0.997085761865112</v>
      </c>
      <c r="B73">
        <v>3</v>
      </c>
      <c r="E73">
        <v>1.15452600241882</v>
      </c>
      <c r="F73">
        <v>3</v>
      </c>
    </row>
    <row r="74" spans="1:6" x14ac:dyDescent="0.3">
      <c r="A74">
        <v>0.997085761865112</v>
      </c>
      <c r="B74">
        <v>3</v>
      </c>
      <c r="E74">
        <v>1.15678598061148</v>
      </c>
      <c r="F74">
        <v>3</v>
      </c>
    </row>
    <row r="75" spans="1:6" x14ac:dyDescent="0.3">
      <c r="A75">
        <v>0.98836633699999998</v>
      </c>
      <c r="B75">
        <v>3</v>
      </c>
      <c r="E75">
        <v>1.145256917</v>
      </c>
      <c r="F75">
        <v>3</v>
      </c>
    </row>
    <row r="76" spans="1:6" x14ac:dyDescent="0.3">
      <c r="A76">
        <v>0.98663366336633596</v>
      </c>
      <c r="B76">
        <v>3</v>
      </c>
      <c r="E76">
        <v>1.1472466960352401</v>
      </c>
      <c r="F76">
        <v>3</v>
      </c>
    </row>
    <row r="77" spans="1:6" x14ac:dyDescent="0.3">
      <c r="A77">
        <v>0.98316831683168304</v>
      </c>
      <c r="B77">
        <v>3</v>
      </c>
      <c r="E77">
        <v>1.1494469026548599</v>
      </c>
      <c r="F77">
        <v>3</v>
      </c>
    </row>
    <row r="78" spans="1:6" x14ac:dyDescent="0.3">
      <c r="A78">
        <v>0.99842333464722099</v>
      </c>
      <c r="B78">
        <v>3</v>
      </c>
      <c r="E78">
        <v>1.13919413919413</v>
      </c>
      <c r="F78">
        <v>3</v>
      </c>
    </row>
    <row r="79" spans="1:6" x14ac:dyDescent="0.3">
      <c r="A79">
        <v>0.99842333464722099</v>
      </c>
      <c r="B79">
        <v>3</v>
      </c>
      <c r="E79">
        <v>1.1394995531724701</v>
      </c>
      <c r="F79">
        <v>3</v>
      </c>
    </row>
    <row r="80" spans="1:6" x14ac:dyDescent="0.3">
      <c r="A80">
        <v>0.99705948880343798</v>
      </c>
      <c r="B80">
        <v>4</v>
      </c>
      <c r="E80">
        <v>1.1411788332161801</v>
      </c>
      <c r="F80">
        <v>4</v>
      </c>
    </row>
    <row r="81" spans="1:6" x14ac:dyDescent="0.3">
      <c r="A81">
        <v>0.99705948880343798</v>
      </c>
      <c r="B81">
        <v>4</v>
      </c>
      <c r="E81">
        <v>1.14382045088566</v>
      </c>
      <c r="F81">
        <v>4</v>
      </c>
    </row>
    <row r="82" spans="1:6" x14ac:dyDescent="0.3">
      <c r="A82">
        <v>0.99705948880343798</v>
      </c>
      <c r="B82">
        <v>4</v>
      </c>
      <c r="E82">
        <v>1.1401484751203801</v>
      </c>
      <c r="F82">
        <v>4</v>
      </c>
    </row>
    <row r="83" spans="1:6" x14ac:dyDescent="0.3">
      <c r="A83">
        <v>0.98099947943779198</v>
      </c>
      <c r="B83">
        <v>4</v>
      </c>
      <c r="E83">
        <v>1.15220700152207</v>
      </c>
      <c r="F83">
        <v>4</v>
      </c>
    </row>
    <row r="84" spans="1:6" x14ac:dyDescent="0.3">
      <c r="A84">
        <v>0.98204060385215997</v>
      </c>
      <c r="B84">
        <v>4</v>
      </c>
      <c r="E84">
        <v>1.1486707089552199</v>
      </c>
      <c r="F84">
        <v>4</v>
      </c>
    </row>
    <row r="85" spans="1:6" x14ac:dyDescent="0.3">
      <c r="A85">
        <v>0.99887438090949998</v>
      </c>
      <c r="B85">
        <v>4</v>
      </c>
      <c r="E85">
        <v>1.1537544696066699</v>
      </c>
      <c r="F85">
        <v>4</v>
      </c>
    </row>
    <row r="86" spans="1:6" x14ac:dyDescent="0.3">
      <c r="A86">
        <v>0.99887438090949998</v>
      </c>
      <c r="B86">
        <v>4</v>
      </c>
      <c r="E86">
        <v>1.1592814371257401</v>
      </c>
      <c r="F86">
        <v>4</v>
      </c>
    </row>
    <row r="87" spans="1:6" x14ac:dyDescent="0.3">
      <c r="A87">
        <v>0.99887438090949998</v>
      </c>
      <c r="B87">
        <v>4</v>
      </c>
      <c r="E87">
        <v>1.1522666402142601</v>
      </c>
      <c r="F87">
        <v>4</v>
      </c>
    </row>
    <row r="88" spans="1:6" x14ac:dyDescent="0.3">
      <c r="A88">
        <v>0.99261213720316599</v>
      </c>
      <c r="B88">
        <v>4</v>
      </c>
      <c r="E88">
        <v>1.1376213592233</v>
      </c>
      <c r="F88">
        <v>4</v>
      </c>
    </row>
    <row r="89" spans="1:6" x14ac:dyDescent="0.3">
      <c r="A89">
        <v>0.99261213720316599</v>
      </c>
      <c r="B89">
        <v>4</v>
      </c>
      <c r="E89">
        <v>1.1373286424845299</v>
      </c>
      <c r="F89">
        <v>4</v>
      </c>
    </row>
    <row r="90" spans="1:6" x14ac:dyDescent="0.3">
      <c r="A90">
        <v>0.95902265207431903</v>
      </c>
      <c r="B90">
        <v>4</v>
      </c>
      <c r="E90">
        <v>1.1373666343355899</v>
      </c>
      <c r="F90">
        <v>4</v>
      </c>
    </row>
    <row r="91" spans="1:6" x14ac:dyDescent="0.3">
      <c r="A91">
        <v>0.95978620514125701</v>
      </c>
      <c r="B91">
        <v>4</v>
      </c>
      <c r="E91">
        <v>1.1436578530522701</v>
      </c>
      <c r="F91">
        <v>4</v>
      </c>
    </row>
    <row r="92" spans="1:6" x14ac:dyDescent="0.3">
      <c r="A92">
        <v>0.93331636548740105</v>
      </c>
      <c r="B92">
        <v>4</v>
      </c>
      <c r="E92">
        <v>1.1348398311398</v>
      </c>
      <c r="F92">
        <v>4</v>
      </c>
    </row>
    <row r="93" spans="1:6" x14ac:dyDescent="0.3">
      <c r="A93">
        <v>0.99876619370758701</v>
      </c>
      <c r="B93">
        <v>4</v>
      </c>
      <c r="E93">
        <v>1.14879550806013</v>
      </c>
      <c r="F93">
        <v>4</v>
      </c>
    </row>
    <row r="94" spans="1:6" x14ac:dyDescent="0.3">
      <c r="A94">
        <v>0.99856055932551901</v>
      </c>
      <c r="B94">
        <v>4</v>
      </c>
      <c r="E94">
        <v>1.1465244508722701</v>
      </c>
      <c r="F94">
        <v>4</v>
      </c>
    </row>
    <row r="95" spans="1:6" x14ac:dyDescent="0.3">
      <c r="A95">
        <v>0.98690364826941002</v>
      </c>
      <c r="B95">
        <v>4</v>
      </c>
      <c r="E95">
        <v>1.13465927616563</v>
      </c>
      <c r="F95">
        <v>4</v>
      </c>
    </row>
    <row r="96" spans="1:6" x14ac:dyDescent="0.3">
      <c r="A96">
        <v>0.86459307764265603</v>
      </c>
      <c r="B96">
        <v>4</v>
      </c>
      <c r="E96">
        <v>1.1334152334152301</v>
      </c>
      <c r="F96">
        <v>4</v>
      </c>
    </row>
    <row r="97" spans="1:6" x14ac:dyDescent="0.3">
      <c r="A97">
        <v>0.81244796003330499</v>
      </c>
      <c r="B97">
        <v>4</v>
      </c>
      <c r="E97">
        <v>1.1525042205965099</v>
      </c>
      <c r="F97">
        <v>4</v>
      </c>
    </row>
    <row r="98" spans="1:6" x14ac:dyDescent="0.3">
      <c r="A98">
        <v>0.997085761865112</v>
      </c>
      <c r="B98">
        <v>4</v>
      </c>
      <c r="E98">
        <v>1.14854234150856</v>
      </c>
      <c r="F98">
        <v>4</v>
      </c>
    </row>
    <row r="99" spans="1:6" x14ac:dyDescent="0.3">
      <c r="A99">
        <v>0.997085761865112</v>
      </c>
      <c r="B99">
        <v>4</v>
      </c>
      <c r="E99">
        <v>1.1531313882178</v>
      </c>
      <c r="F99">
        <v>4</v>
      </c>
    </row>
    <row r="100" spans="1:6" x14ac:dyDescent="0.3">
      <c r="A100">
        <v>0.98514851485148502</v>
      </c>
      <c r="B100">
        <v>4</v>
      </c>
      <c r="E100">
        <v>1.1478289691746699</v>
      </c>
      <c r="F100">
        <v>4</v>
      </c>
    </row>
    <row r="101" spans="1:6" x14ac:dyDescent="0.3">
      <c r="A101">
        <v>0.88811881188118802</v>
      </c>
      <c r="B101">
        <v>4</v>
      </c>
      <c r="E101">
        <v>1.1473671379814701</v>
      </c>
      <c r="F101">
        <v>4</v>
      </c>
    </row>
    <row r="102" spans="1:6" x14ac:dyDescent="0.3">
      <c r="A102">
        <v>0.98836633663366302</v>
      </c>
      <c r="B102">
        <v>4</v>
      </c>
      <c r="E102">
        <v>1.14853556485355</v>
      </c>
      <c r="F102">
        <v>4</v>
      </c>
    </row>
    <row r="103" spans="1:6" x14ac:dyDescent="0.3">
      <c r="A103">
        <v>0.99862041781631805</v>
      </c>
      <c r="B103">
        <v>4</v>
      </c>
      <c r="E103">
        <v>1.1371902299875201</v>
      </c>
      <c r="F103">
        <v>4</v>
      </c>
    </row>
    <row r="104" spans="1:6" x14ac:dyDescent="0.3">
      <c r="A104">
        <v>0.99862041781631805</v>
      </c>
      <c r="B104">
        <v>4</v>
      </c>
      <c r="E104">
        <v>1.14054537326776</v>
      </c>
      <c r="F104">
        <v>4</v>
      </c>
    </row>
    <row r="105" spans="1:6" x14ac:dyDescent="0.3">
      <c r="A105">
        <v>0.99862041781631805</v>
      </c>
      <c r="B105">
        <v>4</v>
      </c>
      <c r="E105">
        <v>1.1400357462019599</v>
      </c>
      <c r="F10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showGridLines="0" tabSelected="1" topLeftCell="B7" zoomScale="130" zoomScaleNormal="130" workbookViewId="0">
      <selection activeCell="L22" sqref="L22"/>
    </sheetView>
  </sheetViews>
  <sheetFormatPr defaultRowHeight="14.4" x14ac:dyDescent="0.3"/>
  <cols>
    <col min="1" max="1" width="10.33203125" bestFit="1" customWidth="1"/>
    <col min="2" max="2" width="9" bestFit="1" customWidth="1"/>
    <col min="3" max="6" width="16.88671875" customWidth="1"/>
    <col min="11" max="11" width="23.5546875" customWidth="1"/>
    <col min="12" max="12" width="16.44140625" bestFit="1" customWidth="1"/>
    <col min="13" max="13" width="12.6640625" bestFit="1" customWidth="1"/>
    <col min="14" max="14" width="15" bestFit="1" customWidth="1"/>
    <col min="15" max="15" width="12.6640625" bestFit="1" customWidth="1"/>
  </cols>
  <sheetData>
    <row r="1" spans="1:16" x14ac:dyDescent="0.3">
      <c r="A1" t="s">
        <v>36</v>
      </c>
      <c r="B1">
        <v>26</v>
      </c>
    </row>
    <row r="2" spans="1:16" x14ac:dyDescent="0.3">
      <c r="A2" t="s">
        <v>37</v>
      </c>
      <c r="B2">
        <f>COLUMNS(C10:F10)</f>
        <v>4</v>
      </c>
    </row>
    <row r="3" spans="1:16" x14ac:dyDescent="0.3">
      <c r="A3" t="s">
        <v>38</v>
      </c>
      <c r="B3">
        <f>B2*B1</f>
        <v>104</v>
      </c>
    </row>
    <row r="4" spans="1:16" x14ac:dyDescent="0.3">
      <c r="A4" t="s">
        <v>39</v>
      </c>
      <c r="B4">
        <f>SUM(C11:F40)</f>
        <v>102.26496520576417</v>
      </c>
    </row>
    <row r="5" spans="1:16" x14ac:dyDescent="0.3">
      <c r="A5" t="s">
        <v>42</v>
      </c>
      <c r="B5">
        <f>(B4^2)/B1</f>
        <v>402.23550417446756</v>
      </c>
    </row>
    <row r="6" spans="1:16" x14ac:dyDescent="0.3">
      <c r="A6" t="s">
        <v>52</v>
      </c>
      <c r="B6" t="s">
        <v>55</v>
      </c>
    </row>
    <row r="7" spans="1:16" x14ac:dyDescent="0.3">
      <c r="A7" t="s">
        <v>53</v>
      </c>
      <c r="B7" t="s">
        <v>54</v>
      </c>
    </row>
    <row r="9" spans="1:16" x14ac:dyDescent="0.3">
      <c r="A9" s="7" t="s">
        <v>75</v>
      </c>
      <c r="B9" s="7"/>
      <c r="C9" s="7"/>
      <c r="D9" s="7"/>
      <c r="E9" s="7"/>
      <c r="F9" s="7"/>
      <c r="G9" s="7"/>
    </row>
    <row r="10" spans="1:16" s="11" customFormat="1" ht="42.6" customHeight="1" x14ac:dyDescent="0.3">
      <c r="A10" s="19" t="s">
        <v>17</v>
      </c>
      <c r="B10" s="19" t="s">
        <v>4</v>
      </c>
      <c r="C10" s="19" t="s">
        <v>92</v>
      </c>
      <c r="D10" s="11" t="s">
        <v>3</v>
      </c>
      <c r="E10" s="19" t="s">
        <v>93</v>
      </c>
      <c r="F10" s="19" t="s">
        <v>91</v>
      </c>
      <c r="G10" s="19" t="s">
        <v>41</v>
      </c>
    </row>
    <row r="11" spans="1:16" x14ac:dyDescent="0.3">
      <c r="A11">
        <v>1</v>
      </c>
      <c r="B11" t="s">
        <v>5</v>
      </c>
      <c r="C11" s="8">
        <v>0.99683329600000004</v>
      </c>
      <c r="D11" s="8">
        <v>0.99163085299999998</v>
      </c>
      <c r="E11" s="8">
        <v>0.99705948899999997</v>
      </c>
      <c r="F11" s="8">
        <v>0.99705948880343798</v>
      </c>
      <c r="G11">
        <f>SUM(C11:F11)</f>
        <v>3.982583126803438</v>
      </c>
    </row>
    <row r="12" spans="1:16" x14ac:dyDescent="0.3">
      <c r="A12">
        <v>2</v>
      </c>
      <c r="B12" t="s">
        <v>6</v>
      </c>
      <c r="C12" s="8">
        <v>0.996380909296539</v>
      </c>
      <c r="D12" s="8">
        <v>0.99321420493101098</v>
      </c>
      <c r="E12" s="8">
        <v>0.99705948880343798</v>
      </c>
      <c r="F12" s="8">
        <v>0.99705948880343798</v>
      </c>
      <c r="G12">
        <f t="shared" ref="G12:G40" si="0">SUM(C12:F12)</f>
        <v>3.9837140918344258</v>
      </c>
      <c r="K12" s="10" t="s">
        <v>87</v>
      </c>
      <c r="P12" s="17"/>
    </row>
    <row r="13" spans="1:16" x14ac:dyDescent="0.3">
      <c r="A13">
        <v>3</v>
      </c>
      <c r="B13" t="s">
        <v>7</v>
      </c>
      <c r="C13" s="8">
        <v>0.99683329563447098</v>
      </c>
      <c r="D13" s="8">
        <v>0.98574983035512298</v>
      </c>
      <c r="E13" s="8">
        <v>0.99705948880343798</v>
      </c>
      <c r="F13" s="8">
        <v>0.99705948880343798</v>
      </c>
      <c r="G13">
        <f t="shared" si="0"/>
        <v>3.9767021035964696</v>
      </c>
      <c r="K13" s="14" t="s">
        <v>76</v>
      </c>
      <c r="L13" s="14" t="s">
        <v>88</v>
      </c>
      <c r="M13" s="14" t="s">
        <v>89</v>
      </c>
      <c r="N13" s="14" t="s">
        <v>83</v>
      </c>
      <c r="O13" s="14" t="s">
        <v>90</v>
      </c>
      <c r="P13" s="18"/>
    </row>
    <row r="14" spans="1:16" x14ac:dyDescent="0.3">
      <c r="A14">
        <v>4</v>
      </c>
      <c r="B14" t="s">
        <v>8</v>
      </c>
      <c r="C14" s="8">
        <v>0.98178032299999995</v>
      </c>
      <c r="D14" s="8">
        <v>0.96304008299999999</v>
      </c>
      <c r="E14" s="8">
        <v>0.98152004199999998</v>
      </c>
      <c r="F14" s="8">
        <v>0.98099947943779198</v>
      </c>
      <c r="G14">
        <f>SUM(C14:F14)</f>
        <v>3.9073399274377918</v>
      </c>
      <c r="K14" s="12" t="s">
        <v>3</v>
      </c>
      <c r="L14" s="13">
        <f>$B$1</f>
        <v>26</v>
      </c>
      <c r="M14" s="20">
        <f>D41</f>
        <v>25.517323775522343</v>
      </c>
      <c r="N14" s="21">
        <f>D42</f>
        <v>0.98143552982778237</v>
      </c>
      <c r="O14" s="13">
        <f>ABS(_xlfn.STDEV.S(D11:D36))</f>
        <v>1.5956482147866071E-2</v>
      </c>
      <c r="P14" s="17"/>
    </row>
    <row r="15" spans="1:16" x14ac:dyDescent="0.3">
      <c r="A15">
        <v>5</v>
      </c>
      <c r="B15" t="s">
        <v>9</v>
      </c>
      <c r="C15" s="8">
        <v>0.97995835502342499</v>
      </c>
      <c r="D15" s="8">
        <v>0.95913586673607498</v>
      </c>
      <c r="E15" s="8">
        <v>0.97787610619469001</v>
      </c>
      <c r="F15" s="8">
        <v>0.98204060385215997</v>
      </c>
      <c r="G15">
        <f t="shared" si="0"/>
        <v>3.8990109318063499</v>
      </c>
      <c r="K15" s="1" t="s">
        <v>92</v>
      </c>
      <c r="L15" s="13">
        <f t="shared" ref="L15:L17" si="1">$B$1</f>
        <v>26</v>
      </c>
      <c r="M15" s="20">
        <f>C41</f>
        <v>25.729530456940637</v>
      </c>
      <c r="N15" s="21">
        <f>C42</f>
        <v>0.98959732526694755</v>
      </c>
      <c r="O15" s="13">
        <f>_xlfn.STDEV.S(C11:C36)</f>
        <v>1.1548498549256402E-2</v>
      </c>
      <c r="P15" s="17"/>
    </row>
    <row r="16" spans="1:16" x14ac:dyDescent="0.3">
      <c r="A16">
        <v>6</v>
      </c>
      <c r="B16" t="s">
        <v>10</v>
      </c>
      <c r="C16" s="8">
        <v>0.97579385736595503</v>
      </c>
      <c r="D16" s="8">
        <v>0.96460176991150404</v>
      </c>
      <c r="E16" s="8">
        <v>0.98125976054138397</v>
      </c>
      <c r="F16" s="8">
        <v>0.99887438090949998</v>
      </c>
      <c r="G16">
        <f t="shared" si="0"/>
        <v>3.9205297687283434</v>
      </c>
      <c r="K16" s="1" t="s">
        <v>91</v>
      </c>
      <c r="L16" s="13">
        <f t="shared" si="1"/>
        <v>26</v>
      </c>
      <c r="M16" s="20">
        <f>F41</f>
        <v>25.301129069062068</v>
      </c>
      <c r="N16" s="21">
        <f>F42</f>
        <v>0.97312034881007947</v>
      </c>
      <c r="O16" s="13">
        <f>_xlfn.STDEV.S(F11:F36)</f>
        <v>4.7481351923420075E-2</v>
      </c>
      <c r="P16" s="17"/>
    </row>
    <row r="17" spans="1:16" x14ac:dyDescent="0.3">
      <c r="A17">
        <v>7</v>
      </c>
      <c r="B17" t="s">
        <v>11</v>
      </c>
      <c r="C17" s="8">
        <v>0.99842413299999999</v>
      </c>
      <c r="D17" s="8">
        <v>0.99212066600000004</v>
      </c>
      <c r="E17" s="8">
        <v>0.99887438100000003</v>
      </c>
      <c r="F17" s="8">
        <v>0.99887438090949998</v>
      </c>
      <c r="G17">
        <f t="shared" si="0"/>
        <v>3.9882935609094998</v>
      </c>
      <c r="K17" s="1" t="s">
        <v>93</v>
      </c>
      <c r="L17" s="13">
        <f t="shared" si="1"/>
        <v>26</v>
      </c>
      <c r="M17" s="20">
        <f>E41</f>
        <v>25.716981904239194</v>
      </c>
      <c r="N17" s="21">
        <f>E42</f>
        <v>0.9891146886245844</v>
      </c>
      <c r="O17" s="13">
        <f>_xlfn.STDEV.S(E11:E36)</f>
        <v>1.2830508199112663E-2</v>
      </c>
    </row>
    <row r="18" spans="1:16" x14ac:dyDescent="0.3">
      <c r="A18">
        <v>8</v>
      </c>
      <c r="B18" t="s">
        <v>12</v>
      </c>
      <c r="C18" s="8">
        <v>0.99887438090949998</v>
      </c>
      <c r="D18" s="8">
        <v>0.99752363800090005</v>
      </c>
      <c r="E18" s="8">
        <v>0.99887438090949998</v>
      </c>
      <c r="F18" s="8">
        <v>0.99887438090949998</v>
      </c>
      <c r="G18">
        <f t="shared" si="0"/>
        <v>3.9941467807294</v>
      </c>
    </row>
    <row r="19" spans="1:16" x14ac:dyDescent="0.3">
      <c r="A19">
        <v>9</v>
      </c>
      <c r="B19" t="s">
        <v>13</v>
      </c>
      <c r="C19" s="8">
        <v>0.99887438090949998</v>
      </c>
      <c r="D19" s="8">
        <v>0.99887438090949998</v>
      </c>
      <c r="E19" s="8">
        <v>0.99887438090949998</v>
      </c>
      <c r="F19" s="8">
        <v>0.99261213720316599</v>
      </c>
      <c r="G19">
        <f t="shared" si="0"/>
        <v>3.9892352799316657</v>
      </c>
    </row>
    <row r="20" spans="1:16" x14ac:dyDescent="0.3">
      <c r="A20">
        <v>10</v>
      </c>
      <c r="B20" t="s">
        <v>15</v>
      </c>
      <c r="C20" s="8">
        <v>0.99208443300000004</v>
      </c>
      <c r="D20" s="8">
        <v>0.97572559400000003</v>
      </c>
      <c r="E20" s="8">
        <v>0.99419525099999995</v>
      </c>
      <c r="F20" s="8">
        <v>0.99261213720316599</v>
      </c>
      <c r="G20">
        <f>SUM(C20:F20)</f>
        <v>3.9546174152031659</v>
      </c>
    </row>
    <row r="21" spans="1:16" x14ac:dyDescent="0.3">
      <c r="A21">
        <v>11</v>
      </c>
      <c r="B21" t="s">
        <v>16</v>
      </c>
      <c r="C21" s="8">
        <v>0.99261213720316599</v>
      </c>
      <c r="D21" s="8">
        <v>0.97810026385224202</v>
      </c>
      <c r="E21" s="8">
        <v>0.99313984168865399</v>
      </c>
      <c r="F21" s="8">
        <v>0.95902265207431903</v>
      </c>
      <c r="G21">
        <f t="shared" si="0"/>
        <v>3.9228748948183809</v>
      </c>
    </row>
    <row r="22" spans="1:16" x14ac:dyDescent="0.3">
      <c r="A22">
        <v>12</v>
      </c>
      <c r="B22" t="s">
        <v>14</v>
      </c>
      <c r="C22" s="8">
        <v>0.99155672823218999</v>
      </c>
      <c r="D22" s="8">
        <v>0.98047493403693897</v>
      </c>
      <c r="E22" s="8">
        <v>0.99366754617414199</v>
      </c>
      <c r="F22" s="8">
        <v>0.95978620514125701</v>
      </c>
      <c r="G22">
        <f t="shared" si="0"/>
        <v>3.9254854135845281</v>
      </c>
      <c r="K22" s="10" t="s">
        <v>79</v>
      </c>
    </row>
    <row r="23" spans="1:16" x14ac:dyDescent="0.3">
      <c r="A23">
        <v>13</v>
      </c>
      <c r="B23" t="s">
        <v>18</v>
      </c>
      <c r="C23" s="8">
        <v>0.95902265200000003</v>
      </c>
      <c r="D23" s="8">
        <v>0.94451514380249402</v>
      </c>
      <c r="E23" s="8">
        <v>0.96029524099999997</v>
      </c>
      <c r="F23" s="8">
        <v>0.93331636548740105</v>
      </c>
      <c r="G23">
        <f t="shared" si="0"/>
        <v>3.7971494022898948</v>
      </c>
      <c r="K23" s="14" t="s">
        <v>80</v>
      </c>
      <c r="L23" s="14" t="s">
        <v>82</v>
      </c>
      <c r="M23" s="14" t="s">
        <v>81</v>
      </c>
      <c r="N23" s="14" t="s">
        <v>85</v>
      </c>
      <c r="O23" s="15" t="s">
        <v>84</v>
      </c>
      <c r="P23" s="16" t="s">
        <v>86</v>
      </c>
    </row>
    <row r="24" spans="1:16" x14ac:dyDescent="0.3">
      <c r="A24">
        <v>14</v>
      </c>
      <c r="B24" t="s">
        <v>19</v>
      </c>
      <c r="C24" s="8">
        <v>0.95724102825146296</v>
      </c>
      <c r="D24" s="8">
        <v>0.94935097989310202</v>
      </c>
      <c r="E24" s="8">
        <v>0.95851361669636004</v>
      </c>
      <c r="F24" s="8">
        <v>0.99876619370758701</v>
      </c>
      <c r="G24">
        <f t="shared" si="0"/>
        <v>3.8638718185485121</v>
      </c>
      <c r="K24" s="12" t="s">
        <v>48</v>
      </c>
      <c r="L24" s="13">
        <f>B1*((C42-H42)^2+(D42-H42)^2+(E42-H42)^2+(F42-H42)^2)</f>
        <v>4.6947499128727616E-3</v>
      </c>
      <c r="M24" s="13">
        <f>B2-1</f>
        <v>3</v>
      </c>
      <c r="N24" s="13">
        <f>L24/M24</f>
        <v>1.5649166376242539E-3</v>
      </c>
      <c r="O24" s="13">
        <f>N24/N25</f>
        <v>9.1874281556241453</v>
      </c>
      <c r="P24">
        <f>_xlfn.F.INV.RT(0.05, M24,M25)</f>
        <v>2.6265613534231353</v>
      </c>
    </row>
    <row r="25" spans="1:16" x14ac:dyDescent="0.3">
      <c r="A25">
        <v>15</v>
      </c>
      <c r="B25" t="s">
        <v>20</v>
      </c>
      <c r="C25" s="8">
        <v>0.99876619370758701</v>
      </c>
      <c r="D25" s="8">
        <v>0.997121119</v>
      </c>
      <c r="E25" s="8">
        <v>0.95800458131840105</v>
      </c>
      <c r="F25" s="8">
        <v>0.99856055932551901</v>
      </c>
      <c r="G25">
        <f t="shared" ref="G25:G30" si="2">SUM(C25:F25)</f>
        <v>3.9524524533515071</v>
      </c>
      <c r="K25" s="12" t="s">
        <v>49</v>
      </c>
      <c r="L25" s="13">
        <f>SUM(C46:F71)</f>
        <v>7.0176946560012804E-2</v>
      </c>
      <c r="M25" s="13">
        <f>B2*(B3-1)</f>
        <v>412</v>
      </c>
      <c r="N25" s="13">
        <f t="shared" ref="N25:N26" si="3">L25/M25</f>
        <v>1.7033239456313787E-4</v>
      </c>
      <c r="O25" s="13"/>
    </row>
    <row r="26" spans="1:16" x14ac:dyDescent="0.3">
      <c r="A26">
        <v>16</v>
      </c>
      <c r="B26" t="s">
        <v>22</v>
      </c>
      <c r="C26" s="8">
        <v>0.99876619370758701</v>
      </c>
      <c r="D26" s="8">
        <v>0.99650421550483204</v>
      </c>
      <c r="E26" s="8">
        <v>0.998766194</v>
      </c>
      <c r="F26" s="8">
        <v>0.98690364826941002</v>
      </c>
      <c r="G26">
        <f t="shared" si="2"/>
        <v>3.9809402514818291</v>
      </c>
      <c r="K26" s="12" t="s">
        <v>39</v>
      </c>
      <c r="L26" s="13">
        <f>SUM(L24:L25)</f>
        <v>7.4871696472885566E-2</v>
      </c>
      <c r="M26" s="13">
        <f>SUM(M24:M25)</f>
        <v>415</v>
      </c>
      <c r="N26" s="13">
        <f t="shared" si="3"/>
        <v>1.804137264406881E-4</v>
      </c>
      <c r="O26" s="13"/>
    </row>
    <row r="27" spans="1:16" x14ac:dyDescent="0.3">
      <c r="A27">
        <v>17</v>
      </c>
      <c r="B27" t="s">
        <v>23</v>
      </c>
      <c r="C27" s="8">
        <v>0.98526660430308699</v>
      </c>
      <c r="D27" s="8">
        <v>0.99773802179724402</v>
      </c>
      <c r="E27" s="8">
        <v>0.99876619370758701</v>
      </c>
      <c r="F27" s="8">
        <v>0.86459307764265603</v>
      </c>
      <c r="G27">
        <f t="shared" si="2"/>
        <v>3.8463638974505741</v>
      </c>
      <c r="K27" s="12"/>
      <c r="L27" s="13">
        <f>N25</f>
        <v>1.7033239456313787E-4</v>
      </c>
      <c r="M27" s="13"/>
      <c r="N27" s="13"/>
      <c r="O27" s="13"/>
    </row>
    <row r="28" spans="1:16" x14ac:dyDescent="0.3">
      <c r="A28">
        <v>18</v>
      </c>
      <c r="B28" t="s">
        <v>21</v>
      </c>
      <c r="C28" s="8">
        <v>0.98503274087932602</v>
      </c>
      <c r="D28" s="8">
        <v>0.96889616499999998</v>
      </c>
      <c r="E28" s="8">
        <v>0.98690364826941002</v>
      </c>
      <c r="F28" s="8">
        <v>0.81244796003330499</v>
      </c>
      <c r="G28">
        <f t="shared" si="2"/>
        <v>3.7532805141820411</v>
      </c>
      <c r="K28" s="12"/>
      <c r="L28" s="13">
        <f>M25</f>
        <v>412</v>
      </c>
      <c r="M28" s="13"/>
      <c r="N28" s="13"/>
      <c r="O28" s="13"/>
    </row>
    <row r="29" spans="1:16" x14ac:dyDescent="0.3">
      <c r="A29">
        <v>19</v>
      </c>
      <c r="B29" t="s">
        <v>24</v>
      </c>
      <c r="C29" s="8">
        <v>0.99708576199999999</v>
      </c>
      <c r="D29" s="8">
        <v>0.980589335827876</v>
      </c>
      <c r="E29" s="8">
        <v>0.99708576199999999</v>
      </c>
      <c r="F29" s="8">
        <v>0.997085761865112</v>
      </c>
      <c r="G29">
        <f t="shared" si="2"/>
        <v>3.9718466216929884</v>
      </c>
    </row>
    <row r="30" spans="1:16" x14ac:dyDescent="0.3">
      <c r="A30">
        <v>20</v>
      </c>
      <c r="B30" t="s">
        <v>25</v>
      </c>
      <c r="C30" s="8">
        <v>0.997085761865112</v>
      </c>
      <c r="D30" s="8">
        <v>0.98292797006548105</v>
      </c>
      <c r="E30" s="8">
        <v>0.997085761865112</v>
      </c>
      <c r="F30" s="8">
        <v>0.997085761865112</v>
      </c>
      <c r="G30">
        <f t="shared" si="2"/>
        <v>3.9741852556608173</v>
      </c>
      <c r="K30" t="s">
        <v>51</v>
      </c>
    </row>
    <row r="31" spans="1:16" x14ac:dyDescent="0.3">
      <c r="A31">
        <v>21</v>
      </c>
      <c r="B31" t="s">
        <v>26</v>
      </c>
      <c r="C31" s="8">
        <v>0.997085761865112</v>
      </c>
      <c r="D31" s="8">
        <v>0.99625312239800101</v>
      </c>
      <c r="E31" s="8">
        <v>0.997085761865112</v>
      </c>
      <c r="F31" s="8">
        <v>0.98514851485148502</v>
      </c>
      <c r="G31">
        <f t="shared" si="0"/>
        <v>3.9755731609797103</v>
      </c>
      <c r="K31" t="s">
        <v>56</v>
      </c>
    </row>
    <row r="32" spans="1:16" x14ac:dyDescent="0.3">
      <c r="A32">
        <v>22</v>
      </c>
      <c r="B32" t="s">
        <v>27</v>
      </c>
      <c r="C32" s="8">
        <v>0.98490098999999998</v>
      </c>
      <c r="D32" s="8">
        <v>0.98069306899999997</v>
      </c>
      <c r="E32" s="8">
        <v>0.98836633699999998</v>
      </c>
      <c r="F32" s="8">
        <v>0.88811881188118802</v>
      </c>
      <c r="G32">
        <f>SUM(C32:F32)</f>
        <v>3.8420792078811878</v>
      </c>
      <c r="K32" t="s">
        <v>57</v>
      </c>
    </row>
    <row r="33" spans="1:15" x14ac:dyDescent="0.3">
      <c r="A33">
        <v>23</v>
      </c>
      <c r="B33" t="s">
        <v>28</v>
      </c>
      <c r="C33" s="8">
        <v>0.98688118811881098</v>
      </c>
      <c r="D33" s="8">
        <v>0.978465346534653</v>
      </c>
      <c r="E33" s="8">
        <v>0.98663366336633596</v>
      </c>
      <c r="F33" s="8">
        <v>0.98836633663366302</v>
      </c>
      <c r="G33">
        <f t="shared" si="0"/>
        <v>3.9403465346534627</v>
      </c>
    </row>
    <row r="34" spans="1:15" x14ac:dyDescent="0.3">
      <c r="A34">
        <v>24</v>
      </c>
      <c r="B34" t="s">
        <v>29</v>
      </c>
      <c r="C34" s="8">
        <v>0.98514851485148502</v>
      </c>
      <c r="D34" s="8">
        <v>0.96782178217821702</v>
      </c>
      <c r="E34" s="8">
        <v>0.98316831683168304</v>
      </c>
      <c r="F34" s="8">
        <v>0.99862041781631805</v>
      </c>
      <c r="G34">
        <f t="shared" si="0"/>
        <v>3.9347590316777028</v>
      </c>
    </row>
    <row r="35" spans="1:15" x14ac:dyDescent="0.3">
      <c r="A35">
        <v>25</v>
      </c>
      <c r="B35" t="s">
        <v>30</v>
      </c>
      <c r="C35" s="8">
        <v>0.99862041800000001</v>
      </c>
      <c r="D35" s="8">
        <v>0.99802916830902599</v>
      </c>
      <c r="E35" s="8">
        <v>0.99842333464722099</v>
      </c>
      <c r="F35" s="8">
        <v>0.99862041781631805</v>
      </c>
      <c r="G35">
        <f t="shared" si="0"/>
        <v>3.993693338772565</v>
      </c>
    </row>
    <row r="36" spans="1:15" x14ac:dyDescent="0.3">
      <c r="A36">
        <v>26</v>
      </c>
      <c r="B36" t="s">
        <v>31</v>
      </c>
      <c r="C36" s="8">
        <v>0.99862041781631805</v>
      </c>
      <c r="D36" s="8">
        <v>0.99822625147812305</v>
      </c>
      <c r="E36" s="8">
        <v>0.99842333464722099</v>
      </c>
      <c r="F36" s="8">
        <v>0.99862041781631805</v>
      </c>
      <c r="G36">
        <f>SUM(C36:F36)</f>
        <v>3.99389042175798</v>
      </c>
      <c r="K36" t="s">
        <v>58</v>
      </c>
    </row>
    <row r="37" spans="1:15" x14ac:dyDescent="0.3">
      <c r="A37">
        <v>27</v>
      </c>
      <c r="B37" t="s">
        <v>32</v>
      </c>
      <c r="G37">
        <f t="shared" si="0"/>
        <v>0</v>
      </c>
      <c r="K37" t="s">
        <v>74</v>
      </c>
    </row>
    <row r="38" spans="1:15" x14ac:dyDescent="0.3">
      <c r="A38">
        <v>28</v>
      </c>
      <c r="B38" t="s">
        <v>33</v>
      </c>
      <c r="G38">
        <f t="shared" si="0"/>
        <v>0</v>
      </c>
      <c r="K38" t="s">
        <v>60</v>
      </c>
      <c r="L38">
        <v>2</v>
      </c>
      <c r="M38">
        <v>3</v>
      </c>
      <c r="N38">
        <v>4</v>
      </c>
    </row>
    <row r="39" spans="1:15" x14ac:dyDescent="0.3">
      <c r="A39">
        <v>29</v>
      </c>
      <c r="B39" t="s">
        <v>34</v>
      </c>
      <c r="G39">
        <f t="shared" si="0"/>
        <v>0</v>
      </c>
      <c r="K39" t="s">
        <v>61</v>
      </c>
      <c r="L39" s="3">
        <v>2.7719999999999998</v>
      </c>
      <c r="M39">
        <v>3.3149999999999999</v>
      </c>
      <c r="N39">
        <v>3.6360000000000001</v>
      </c>
    </row>
    <row r="40" spans="1:15" x14ac:dyDescent="0.3">
      <c r="A40">
        <v>30</v>
      </c>
      <c r="B40" t="s">
        <v>35</v>
      </c>
      <c r="G40">
        <f t="shared" si="0"/>
        <v>0</v>
      </c>
      <c r="K40" t="s">
        <v>62</v>
      </c>
      <c r="L40">
        <f>L39*SQRT($L$27/$B$3)</f>
        <v>3.5475226926482387E-3</v>
      </c>
      <c r="M40">
        <f>M39*SQRT($L$27/$B$3)</f>
        <v>4.2424378521388577E-3</v>
      </c>
      <c r="N40">
        <f>N39*SQRT($L$27/$B$3)</f>
        <v>4.6532440513957427E-3</v>
      </c>
    </row>
    <row r="41" spans="1:15" x14ac:dyDescent="0.3">
      <c r="A41" t="s">
        <v>40</v>
      </c>
      <c r="C41" s="8">
        <f>SUM(C11:C39)</f>
        <v>25.729530456940637</v>
      </c>
      <c r="D41" s="8">
        <f>SUM(D11:D36)</f>
        <v>25.517323775522343</v>
      </c>
      <c r="E41" s="8">
        <f>SUM(E11:E36)</f>
        <v>25.716981904239194</v>
      </c>
      <c r="F41" s="8">
        <f>SUM(F11:F36)</f>
        <v>25.301129069062068</v>
      </c>
    </row>
    <row r="42" spans="1:15" x14ac:dyDescent="0.3">
      <c r="C42" s="9">
        <f>AVERAGE(C11:C39)</f>
        <v>0.98959732526694755</v>
      </c>
      <c r="D42" s="9">
        <f>AVERAGE(D11:D36)</f>
        <v>0.98143552982778237</v>
      </c>
      <c r="E42" s="9">
        <f>AVERAGE(E11:E36)</f>
        <v>0.9891146886245844</v>
      </c>
      <c r="F42" s="9">
        <f>AVERAGE(F11:F36)</f>
        <v>0.97312034881007947</v>
      </c>
      <c r="H42">
        <f>AVERAGE(C42:F42)</f>
        <v>0.98331697313234834</v>
      </c>
      <c r="K42" t="s">
        <v>73</v>
      </c>
    </row>
    <row r="43" spans="1:15" x14ac:dyDescent="0.3">
      <c r="E43" s="6">
        <f>(E42-C42)/C42</f>
        <v>-4.8771013223277495E-4</v>
      </c>
      <c r="F43" s="6">
        <f>(F42-C42)/C42</f>
        <v>-1.6650182893757672E-2</v>
      </c>
      <c r="K43">
        <v>1</v>
      </c>
      <c r="L43">
        <v>2</v>
      </c>
      <c r="M43">
        <v>3</v>
      </c>
      <c r="N43">
        <v>4</v>
      </c>
    </row>
    <row r="44" spans="1:15" x14ac:dyDescent="0.3">
      <c r="E44" s="6">
        <f>(E42-D42)/D42</f>
        <v>7.824414914089705E-3</v>
      </c>
      <c r="F44" s="6">
        <f>(F42-D42)/D42</f>
        <v>-8.4724678952289492E-3</v>
      </c>
      <c r="K44">
        <f>MIN(C42:F42)</f>
        <v>0.97312034881007947</v>
      </c>
      <c r="L44">
        <f>LARGE(C42:F42, 3)</f>
        <v>0.98143552982778237</v>
      </c>
      <c r="M44">
        <f>LARGE(C42:F42, 2)</f>
        <v>0.9891146886245844</v>
      </c>
      <c r="N44">
        <f>MAX(C42:F42)</f>
        <v>0.98959732526694755</v>
      </c>
    </row>
    <row r="45" spans="1:15" x14ac:dyDescent="0.3">
      <c r="C45" t="s">
        <v>50</v>
      </c>
    </row>
    <row r="46" spans="1:15" x14ac:dyDescent="0.3">
      <c r="B46">
        <v>1</v>
      </c>
      <c r="C46">
        <f>(C11-$C$42)^2</f>
        <v>5.2359272449592161E-5</v>
      </c>
      <c r="D46">
        <f>(D11-$D$42)^2</f>
        <v>1.039446145859573E-4</v>
      </c>
      <c r="E46">
        <f>(E11-$E$42)^2</f>
        <v>6.3119853005203245E-5</v>
      </c>
      <c r="F46">
        <f>(F11-$F$42)^2</f>
        <v>5.7308242362161667E-4</v>
      </c>
      <c r="K46" t="s">
        <v>63</v>
      </c>
    </row>
    <row r="47" spans="1:15" x14ac:dyDescent="0.3">
      <c r="B47">
        <v>2</v>
      </c>
      <c r="C47">
        <f t="shared" ref="C47:C71" si="4">(C12-$C$42)^2</f>
        <v>4.6017012286528169E-5</v>
      </c>
      <c r="D47">
        <f t="shared" ref="D47:D71" si="5">(D12-$D$42)^2</f>
        <v>1.3873718718741747E-4</v>
      </c>
      <c r="E47">
        <f t="shared" ref="E47:E71" si="6">(E12-$E$42)^2</f>
        <v>6.3119849881911757E-5</v>
      </c>
      <c r="F47">
        <f t="shared" ref="F47:F71" si="7">(F12-$F$42)^2</f>
        <v>5.7308242362161667E-4</v>
      </c>
      <c r="K47" t="s">
        <v>64</v>
      </c>
      <c r="L47" s="4" t="s">
        <v>69</v>
      </c>
      <c r="M47">
        <f>N44-M44</f>
        <v>4.8263664236314341E-4</v>
      </c>
      <c r="N47" t="b">
        <f>M47&gt;O47</f>
        <v>0</v>
      </c>
      <c r="O47">
        <f>L40</f>
        <v>3.5475226926482387E-3</v>
      </c>
    </row>
    <row r="48" spans="1:15" x14ac:dyDescent="0.3">
      <c r="B48">
        <v>3</v>
      </c>
      <c r="C48">
        <f t="shared" si="4"/>
        <v>5.2359267159677259E-5</v>
      </c>
      <c r="D48">
        <f t="shared" si="5"/>
        <v>1.8613189040211456E-5</v>
      </c>
      <c r="E48">
        <f t="shared" si="6"/>
        <v>6.3119849881911757E-5</v>
      </c>
      <c r="F48">
        <f t="shared" si="7"/>
        <v>5.7308242362161667E-4</v>
      </c>
      <c r="L48" s="5" t="s">
        <v>70</v>
      </c>
      <c r="M48">
        <f>M44-L44</f>
        <v>7.6791587968020325E-3</v>
      </c>
      <c r="N48" t="b">
        <f t="shared" ref="N48:N52" si="8">M48&gt;O48</f>
        <v>1</v>
      </c>
      <c r="O48">
        <f>L40</f>
        <v>3.5475226926482387E-3</v>
      </c>
    </row>
    <row r="49" spans="2:15" x14ac:dyDescent="0.3">
      <c r="B49">
        <v>4</v>
      </c>
      <c r="C49">
        <f t="shared" si="4"/>
        <v>6.1105524441463799E-5</v>
      </c>
      <c r="D49">
        <f t="shared" si="5"/>
        <v>3.3839246399376883E-4</v>
      </c>
      <c r="E49">
        <f t="shared" si="6"/>
        <v>5.767865735231156E-5</v>
      </c>
      <c r="F49">
        <f t="shared" si="7"/>
        <v>6.2080699448557248E-5</v>
      </c>
      <c r="L49" s="5" t="s">
        <v>71</v>
      </c>
      <c r="M49">
        <f>L44-K44</f>
        <v>8.3151810177028995E-3</v>
      </c>
      <c r="N49" t="b">
        <f t="shared" si="8"/>
        <v>1</v>
      </c>
      <c r="O49">
        <f>L40</f>
        <v>3.5475226926482387E-3</v>
      </c>
    </row>
    <row r="50" spans="2:15" x14ac:dyDescent="0.3">
      <c r="B50">
        <v>5</v>
      </c>
      <c r="C50">
        <f t="shared" si="4"/>
        <v>9.290974735551336E-5</v>
      </c>
      <c r="D50">
        <f t="shared" si="5"/>
        <v>4.9727497400365672E-4</v>
      </c>
      <c r="E50">
        <f t="shared" si="6"/>
        <v>1.2630573503353101E-4</v>
      </c>
      <c r="F50">
        <f t="shared" si="7"/>
        <v>7.9570950015762467E-5</v>
      </c>
      <c r="K50" t="s">
        <v>65</v>
      </c>
      <c r="L50" s="5" t="s">
        <v>68</v>
      </c>
      <c r="M50">
        <f>N44-L44</f>
        <v>8.1617954391651759E-3</v>
      </c>
      <c r="N50" t="b">
        <f t="shared" si="8"/>
        <v>1</v>
      </c>
      <c r="O50">
        <f>M40</f>
        <v>4.2424378521388577E-3</v>
      </c>
    </row>
    <row r="51" spans="2:15" x14ac:dyDescent="0.3">
      <c r="B51">
        <v>6</v>
      </c>
      <c r="C51">
        <f t="shared" si="4"/>
        <v>1.9053572609373075E-4</v>
      </c>
      <c r="D51">
        <f t="shared" si="5"/>
        <v>2.8337547291889918E-4</v>
      </c>
      <c r="E51">
        <f t="shared" si="6"/>
        <v>6.1699895192250778E-5</v>
      </c>
      <c r="F51">
        <f t="shared" si="7"/>
        <v>6.63270169377982E-4</v>
      </c>
      <c r="L51" s="5" t="s">
        <v>72</v>
      </c>
      <c r="M51">
        <f>M44-K44</f>
        <v>1.5994339814504932E-2</v>
      </c>
      <c r="N51" t="b">
        <f t="shared" si="8"/>
        <v>1</v>
      </c>
      <c r="O51">
        <f>M40</f>
        <v>4.2424378521388577E-3</v>
      </c>
    </row>
    <row r="52" spans="2:15" x14ac:dyDescent="0.3">
      <c r="B52">
        <v>7</v>
      </c>
      <c r="C52">
        <f t="shared" si="4"/>
        <v>7.7912534756274427E-5</v>
      </c>
      <c r="D52">
        <f t="shared" si="5"/>
        <v>1.1417213501883446E-4</v>
      </c>
      <c r="E52">
        <f t="shared" si="6"/>
        <v>9.5251595262745969E-5</v>
      </c>
      <c r="F52">
        <f t="shared" si="7"/>
        <v>6.63270169377982E-4</v>
      </c>
      <c r="K52" t="s">
        <v>66</v>
      </c>
      <c r="L52" s="5" t="s">
        <v>67</v>
      </c>
      <c r="M52">
        <f>N44-K44</f>
        <v>1.6476976456868075E-2</v>
      </c>
      <c r="N52" t="b">
        <f t="shared" si="8"/>
        <v>1</v>
      </c>
      <c r="O52">
        <f>N40</f>
        <v>4.6532440513957427E-3</v>
      </c>
    </row>
    <row r="53" spans="2:15" x14ac:dyDescent="0.3">
      <c r="B53">
        <v>8</v>
      </c>
      <c r="C53">
        <f t="shared" si="4"/>
        <v>8.6063761395013951E-5</v>
      </c>
      <c r="D53">
        <f t="shared" si="5"/>
        <v>2.5882722458993578E-4</v>
      </c>
      <c r="E53">
        <f t="shared" si="6"/>
        <v>9.5251593496240651E-5</v>
      </c>
      <c r="F53">
        <f t="shared" si="7"/>
        <v>6.63270169377982E-4</v>
      </c>
    </row>
    <row r="54" spans="2:15" x14ac:dyDescent="0.3">
      <c r="B54">
        <v>9</v>
      </c>
      <c r="C54">
        <f t="shared" si="4"/>
        <v>8.6063761395013951E-5</v>
      </c>
      <c r="D54">
        <f t="shared" si="5"/>
        <v>3.0411352705032348E-4</v>
      </c>
      <c r="E54">
        <f t="shared" si="6"/>
        <v>9.5251593496240651E-5</v>
      </c>
      <c r="F54">
        <f t="shared" si="7"/>
        <v>3.7992981476086228E-4</v>
      </c>
    </row>
    <row r="55" spans="2:15" x14ac:dyDescent="0.3">
      <c r="B55">
        <v>10</v>
      </c>
      <c r="C55">
        <f t="shared" si="4"/>
        <v>6.1857048758095254E-6</v>
      </c>
      <c r="D55">
        <f t="shared" si="5"/>
        <v>3.260336715739242E-5</v>
      </c>
      <c r="E55">
        <f t="shared" si="6"/>
        <v>2.581211405048802E-5</v>
      </c>
      <c r="F55">
        <f t="shared" si="7"/>
        <v>3.7992981476086228E-4</v>
      </c>
    </row>
    <row r="56" spans="2:15" x14ac:dyDescent="0.3">
      <c r="B56">
        <v>11</v>
      </c>
      <c r="C56">
        <f t="shared" si="4"/>
        <v>9.0890910107651919E-6</v>
      </c>
      <c r="D56">
        <f t="shared" si="5"/>
        <v>1.1123999127597102E-5</v>
      </c>
      <c r="E56">
        <f t="shared" si="6"/>
        <v>1.620185718918878E-5</v>
      </c>
      <c r="F56">
        <f t="shared" si="7"/>
        <v>1.9874505325347071E-4</v>
      </c>
    </row>
    <row r="57" spans="2:15" x14ac:dyDescent="0.3">
      <c r="B57">
        <v>12</v>
      </c>
      <c r="C57">
        <f t="shared" si="4"/>
        <v>3.8392599802008687E-6</v>
      </c>
      <c r="D57">
        <f t="shared" si="5"/>
        <v>9.2274427338605576E-7</v>
      </c>
      <c r="E57">
        <f t="shared" si="6"/>
        <v>2.0728511866563518E-5</v>
      </c>
      <c r="F57">
        <f t="shared" si="7"/>
        <v>1.7779938738079814E-4</v>
      </c>
    </row>
    <row r="58" spans="2:15" x14ac:dyDescent="0.3">
      <c r="B58">
        <v>13</v>
      </c>
      <c r="C58">
        <f t="shared" si="4"/>
        <v>9.3481064538059511E-4</v>
      </c>
      <c r="D58">
        <f t="shared" si="5"/>
        <v>1.3631149042563075E-3</v>
      </c>
      <c r="E58">
        <f t="shared" si="6"/>
        <v>8.3056056138616557E-4</v>
      </c>
      <c r="F58">
        <f t="shared" si="7"/>
        <v>1.5843570883520624E-3</v>
      </c>
    </row>
    <row r="59" spans="2:15" x14ac:dyDescent="0.3">
      <c r="B59">
        <v>14</v>
      </c>
      <c r="C59">
        <f t="shared" si="4"/>
        <v>1.0469299565542571E-3</v>
      </c>
      <c r="D59">
        <f t="shared" si="5"/>
        <v>1.0294183445109968E-3</v>
      </c>
      <c r="E59">
        <f t="shared" si="6"/>
        <v>9.3642560315636129E-4</v>
      </c>
      <c r="F59">
        <f t="shared" si="7"/>
        <v>6.5770936050701359E-4</v>
      </c>
    </row>
    <row r="60" spans="2:15" x14ac:dyDescent="0.3">
      <c r="B60">
        <v>15</v>
      </c>
      <c r="C60">
        <f t="shared" si="4"/>
        <v>8.4068148481754394E-5</v>
      </c>
      <c r="D60">
        <f t="shared" si="5"/>
        <v>2.4603770767959093E-4</v>
      </c>
      <c r="E60">
        <f t="shared" si="6"/>
        <v>9.6783877660224296E-4</v>
      </c>
      <c r="F60">
        <f t="shared" si="7"/>
        <v>6.4720431106988065E-4</v>
      </c>
    </row>
    <row r="61" spans="2:15" x14ac:dyDescent="0.3">
      <c r="B61">
        <v>16</v>
      </c>
      <c r="C61">
        <f t="shared" si="4"/>
        <v>8.4068148481754394E-5</v>
      </c>
      <c r="D61">
        <f t="shared" si="5"/>
        <v>2.2706528803372172E-4</v>
      </c>
      <c r="E61">
        <f t="shared" si="6"/>
        <v>9.3151556011676075E-5</v>
      </c>
      <c r="F61">
        <f t="shared" si="7"/>
        <v>1.899793439855817E-4</v>
      </c>
    </row>
    <row r="62" spans="2:15" x14ac:dyDescent="0.3">
      <c r="B62">
        <v>17</v>
      </c>
      <c r="C62">
        <f t="shared" si="4"/>
        <v>1.8755144066821311E-5</v>
      </c>
      <c r="D62">
        <f t="shared" si="5"/>
        <v>2.6577124441436167E-4</v>
      </c>
      <c r="E62">
        <f t="shared" si="6"/>
        <v>9.3151550367225213E-5</v>
      </c>
      <c r="F62">
        <f t="shared" si="7"/>
        <v>1.177816858704746E-2</v>
      </c>
    </row>
    <row r="63" spans="2:15" x14ac:dyDescent="0.3">
      <c r="B63">
        <v>18</v>
      </c>
      <c r="C63">
        <f t="shared" si="4"/>
        <v>2.0835430631718205E-5</v>
      </c>
      <c r="D63">
        <f t="shared" si="5"/>
        <v>1.5723567028422622E-4</v>
      </c>
      <c r="E63">
        <f t="shared" si="6"/>
        <v>4.8886994522096809E-6</v>
      </c>
      <c r="F63">
        <f t="shared" si="7"/>
        <v>2.5815616515234965E-2</v>
      </c>
    </row>
    <row r="64" spans="2:15" x14ac:dyDescent="0.3">
      <c r="B64">
        <v>19</v>
      </c>
      <c r="C64">
        <f t="shared" si="4"/>
        <v>5.607668470492909E-5</v>
      </c>
      <c r="D64">
        <f t="shared" si="5"/>
        <v>7.1604428547755022E-7</v>
      </c>
      <c r="E64">
        <f t="shared" si="6"/>
        <v>6.3538010756259165E-5</v>
      </c>
      <c r="F64">
        <f t="shared" si="7"/>
        <v>5.7434102289832334E-4</v>
      </c>
    </row>
    <row r="65" spans="2:6" x14ac:dyDescent="0.3">
      <c r="B65">
        <v>20</v>
      </c>
      <c r="C65">
        <f t="shared" si="4"/>
        <v>5.6076682684728751E-5</v>
      </c>
      <c r="D65">
        <f t="shared" si="5"/>
        <v>2.227377863102086E-6</v>
      </c>
      <c r="E65">
        <f t="shared" si="6"/>
        <v>6.3538008605855056E-5</v>
      </c>
      <c r="F65">
        <f t="shared" si="7"/>
        <v>5.7434102289832334E-4</v>
      </c>
    </row>
    <row r="66" spans="2:6" x14ac:dyDescent="0.3">
      <c r="B66">
        <v>21</v>
      </c>
      <c r="C66">
        <f t="shared" si="4"/>
        <v>5.6076682684728751E-5</v>
      </c>
      <c r="D66">
        <f t="shared" si="5"/>
        <v>2.1956104957699866E-4</v>
      </c>
      <c r="E66">
        <f t="shared" si="6"/>
        <v>6.3538008605855056E-5</v>
      </c>
      <c r="F66">
        <f t="shared" si="7"/>
        <v>1.4467677831962172E-4</v>
      </c>
    </row>
    <row r="67" spans="2:6" x14ac:dyDescent="0.3">
      <c r="B67">
        <v>22</v>
      </c>
      <c r="C67">
        <f t="shared" si="4"/>
        <v>2.2055564939575512E-5</v>
      </c>
      <c r="D67">
        <f t="shared" si="5"/>
        <v>5.5124808079132448E-7</v>
      </c>
      <c r="E67">
        <f t="shared" si="6"/>
        <v>5.6003015401814095E-7</v>
      </c>
      <c r="F67">
        <f t="shared" si="7"/>
        <v>7.2252612802736977E-3</v>
      </c>
    </row>
    <row r="68" spans="2:6" x14ac:dyDescent="0.3">
      <c r="B68">
        <v>23</v>
      </c>
      <c r="C68">
        <f t="shared" si="4"/>
        <v>7.3774010074874376E-6</v>
      </c>
      <c r="D68">
        <f t="shared" si="5"/>
        <v>8.8219887947848245E-6</v>
      </c>
      <c r="E68">
        <f t="shared" si="6"/>
        <v>6.155486332066779E-6</v>
      </c>
      <c r="F68">
        <f t="shared" si="7"/>
        <v>2.324401447168579E-4</v>
      </c>
    </row>
    <row r="69" spans="2:6" x14ac:dyDescent="0.3">
      <c r="B69">
        <v>24</v>
      </c>
      <c r="C69">
        <f t="shared" si="4"/>
        <v>1.9791914112727828E-5</v>
      </c>
      <c r="D69">
        <f t="shared" si="5"/>
        <v>1.8533412506604625E-4</v>
      </c>
      <c r="E69">
        <f t="shared" si="6"/>
        <v>3.535933749941295E-5</v>
      </c>
      <c r="F69">
        <f t="shared" si="7"/>
        <v>6.5025351932292944E-4</v>
      </c>
    </row>
    <row r="70" spans="2:6" x14ac:dyDescent="0.3">
      <c r="B70">
        <v>25</v>
      </c>
      <c r="C70">
        <f t="shared" si="4"/>
        <v>8.1416202469264154E-5</v>
      </c>
      <c r="D70">
        <f t="shared" si="5"/>
        <v>2.7534883804620916E-4</v>
      </c>
      <c r="E70">
        <f t="shared" si="6"/>
        <v>8.6650890774748023E-5</v>
      </c>
      <c r="F70">
        <f t="shared" si="7"/>
        <v>6.5025351932292944E-4</v>
      </c>
    </row>
    <row r="71" spans="2:6" x14ac:dyDescent="0.3">
      <c r="B71">
        <v>26</v>
      </c>
      <c r="C71">
        <f t="shared" si="4"/>
        <v>8.1416199154505503E-5</v>
      </c>
      <c r="D71">
        <f t="shared" si="5"/>
        <v>2.8192833353921922E-4</v>
      </c>
      <c r="E71">
        <f t="shared" si="6"/>
        <v>8.6650890774748023E-5</v>
      </c>
      <c r="F71">
        <f t="shared" si="7"/>
        <v>6.5025351932292944E-4</v>
      </c>
    </row>
    <row r="72" spans="2:6" x14ac:dyDescent="0.3">
      <c r="B72">
        <v>27</v>
      </c>
    </row>
    <row r="73" spans="2:6" x14ac:dyDescent="0.3">
      <c r="B73">
        <v>28</v>
      </c>
    </row>
    <row r="74" spans="2:6" x14ac:dyDescent="0.3">
      <c r="B74">
        <v>29</v>
      </c>
    </row>
    <row r="75" spans="2:6" x14ac:dyDescent="0.3">
      <c r="B75">
        <v>30</v>
      </c>
    </row>
  </sheetData>
  <mergeCells count="1">
    <mergeCell ref="A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6C1-620C-43E4-9BBB-144592D63EFA}">
  <dimension ref="A1:O75"/>
  <sheetViews>
    <sheetView topLeftCell="A7" zoomScale="85" zoomScaleNormal="85" workbookViewId="0">
      <selection activeCell="N21" sqref="N21"/>
    </sheetView>
  </sheetViews>
  <sheetFormatPr defaultRowHeight="14.4" x14ac:dyDescent="0.3"/>
  <cols>
    <col min="1" max="1" width="8" bestFit="1" customWidth="1"/>
    <col min="2" max="2" width="9" bestFit="1" customWidth="1"/>
    <col min="3" max="6" width="16.88671875" customWidth="1"/>
    <col min="12" max="12" width="14.44140625" bestFit="1" customWidth="1"/>
    <col min="14" max="14" width="14.6640625" bestFit="1" customWidth="1"/>
  </cols>
  <sheetData>
    <row r="1" spans="1:15" x14ac:dyDescent="0.3">
      <c r="A1" t="s">
        <v>36</v>
      </c>
      <c r="B1">
        <f>ROWS(B11:B40)</f>
        <v>30</v>
      </c>
    </row>
    <row r="2" spans="1:15" x14ac:dyDescent="0.3">
      <c r="A2" t="s">
        <v>37</v>
      </c>
      <c r="B2">
        <f>COLUMNS(C10:F10)</f>
        <v>4</v>
      </c>
    </row>
    <row r="3" spans="1:15" x14ac:dyDescent="0.3">
      <c r="A3" t="s">
        <v>38</v>
      </c>
      <c r="B3">
        <f>B2*B1</f>
        <v>120</v>
      </c>
    </row>
    <row r="4" spans="1:15" x14ac:dyDescent="0.3">
      <c r="A4" t="s">
        <v>39</v>
      </c>
      <c r="B4">
        <f>SUM(C11:F40)</f>
        <v>15933.664033287945</v>
      </c>
    </row>
    <row r="5" spans="1:15" x14ac:dyDescent="0.3">
      <c r="A5" t="s">
        <v>42</v>
      </c>
      <c r="B5">
        <f>(B4^2)/B1</f>
        <v>8462721.6508564614</v>
      </c>
    </row>
    <row r="6" spans="1:15" x14ac:dyDescent="0.3">
      <c r="A6" t="s">
        <v>52</v>
      </c>
      <c r="B6" t="s">
        <v>55</v>
      </c>
    </row>
    <row r="7" spans="1:15" x14ac:dyDescent="0.3">
      <c r="A7" t="s">
        <v>53</v>
      </c>
      <c r="B7" t="s">
        <v>54</v>
      </c>
    </row>
    <row r="9" spans="1:15" x14ac:dyDescent="0.3">
      <c r="A9" s="7" t="s">
        <v>75</v>
      </c>
      <c r="B9" s="7"/>
      <c r="C9" s="7"/>
      <c r="D9" s="7"/>
      <c r="E9" s="7"/>
      <c r="F9" s="7"/>
      <c r="G9" s="7"/>
    </row>
    <row r="10" spans="1:15" ht="42.6" customHeight="1" x14ac:dyDescent="0.3">
      <c r="A10" s="1" t="s">
        <v>17</v>
      </c>
      <c r="B10" s="1" t="s">
        <v>4</v>
      </c>
      <c r="C10" s="1" t="s">
        <v>0</v>
      </c>
      <c r="D10" s="1" t="s">
        <v>3</v>
      </c>
      <c r="E10" s="1" t="s">
        <v>1</v>
      </c>
      <c r="F10" s="1" t="s">
        <v>2</v>
      </c>
      <c r="G10" s="1" t="s">
        <v>41</v>
      </c>
    </row>
    <row r="11" spans="1:15" x14ac:dyDescent="0.3">
      <c r="A11">
        <v>1</v>
      </c>
      <c r="B11" t="s">
        <v>5</v>
      </c>
      <c r="C11">
        <v>158.65192067403964</v>
      </c>
      <c r="D11">
        <v>157.82392108944254</v>
      </c>
      <c r="E11">
        <v>158.68792065603967</v>
      </c>
      <c r="F11">
        <v>158.68792065745043</v>
      </c>
      <c r="G11">
        <f>SUM(C11:F11)</f>
        <v>633.85168307697222</v>
      </c>
    </row>
    <row r="12" spans="1:15" x14ac:dyDescent="0.3">
      <c r="A12">
        <v>2</v>
      </c>
      <c r="B12" t="s">
        <v>6</v>
      </c>
      <c r="C12">
        <v>158.57992071144943</v>
      </c>
      <c r="D12">
        <v>158.07592096344482</v>
      </c>
      <c r="E12">
        <v>158.68792065745043</v>
      </c>
      <c r="F12">
        <v>158.68792065745043</v>
      </c>
      <c r="G12">
        <f t="shared" ref="G12:G40" si="0">SUM(C12:F12)</f>
        <v>634.03168298979517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</row>
    <row r="13" spans="1:15" x14ac:dyDescent="0.3">
      <c r="A13">
        <v>3</v>
      </c>
      <c r="B13" t="s">
        <v>7</v>
      </c>
      <c r="C13">
        <v>158.6519206754501</v>
      </c>
      <c r="D13">
        <v>156.88792155743397</v>
      </c>
      <c r="E13">
        <v>158.68792065745043</v>
      </c>
      <c r="F13">
        <v>158.68792065745043</v>
      </c>
      <c r="G13">
        <f t="shared" si="0"/>
        <v>632.91568354778497</v>
      </c>
      <c r="K13" t="s">
        <v>48</v>
      </c>
      <c r="L13">
        <f>B1*((C42-H42)^2+(D42-H42)^2+(E42-H42)^2+(F42-H42)^2)</f>
        <v>53.389605994212218</v>
      </c>
      <c r="M13">
        <f>B2-1</f>
        <v>3</v>
      </c>
      <c r="N13">
        <f>L13/M13</f>
        <v>17.796535331404073</v>
      </c>
      <c r="O13">
        <f>N13/N14</f>
        <v>0.29190458698040794</v>
      </c>
    </row>
    <row r="14" spans="1:15" x14ac:dyDescent="0.3">
      <c r="A14">
        <v>4</v>
      </c>
      <c r="B14" t="s">
        <v>8</v>
      </c>
      <c r="C14">
        <v>135.79193210403395</v>
      </c>
      <c r="D14">
        <v>133.19993340121746</v>
      </c>
      <c r="E14">
        <v>135.75593212203393</v>
      </c>
      <c r="F14">
        <v>135.68393215924016</v>
      </c>
      <c r="G14">
        <f>SUM(C14:F14)</f>
        <v>540.43172978652547</v>
      </c>
      <c r="K14" t="s">
        <v>49</v>
      </c>
      <c r="L14">
        <f>SUM(C46:F71)</f>
        <v>29020.273046675025</v>
      </c>
      <c r="M14">
        <f>B2*(B3-1)</f>
        <v>476</v>
      </c>
      <c r="N14">
        <f t="shared" ref="N14:N15" si="1">L14/M14</f>
        <v>60.966960182090389</v>
      </c>
    </row>
    <row r="15" spans="1:15" x14ac:dyDescent="0.3">
      <c r="A15">
        <v>5</v>
      </c>
      <c r="B15" t="s">
        <v>9</v>
      </c>
      <c r="C15">
        <v>135.53993223123885</v>
      </c>
      <c r="D15">
        <v>132.65993367121251</v>
      </c>
      <c r="E15">
        <v>135.25193237523621</v>
      </c>
      <c r="F15">
        <v>135.82793208724146</v>
      </c>
      <c r="G15">
        <f t="shared" si="0"/>
        <v>539.27973036492904</v>
      </c>
      <c r="K15" t="s">
        <v>39</v>
      </c>
      <c r="L15">
        <f>SUM(L13:L14)</f>
        <v>29073.662652669238</v>
      </c>
      <c r="M15">
        <f>SUM(M13:M14)</f>
        <v>479</v>
      </c>
      <c r="N15">
        <f t="shared" si="1"/>
        <v>60.696581738349138</v>
      </c>
    </row>
    <row r="16" spans="1:15" x14ac:dyDescent="0.3">
      <c r="A16">
        <v>6</v>
      </c>
      <c r="B16" t="s">
        <v>10</v>
      </c>
      <c r="C16">
        <v>134.96393251923359</v>
      </c>
      <c r="D16">
        <v>133.41593329321944</v>
      </c>
      <c r="E16">
        <v>135.71993214124049</v>
      </c>
      <c r="F16">
        <v>159.73192013545997</v>
      </c>
      <c r="G16">
        <f t="shared" si="0"/>
        <v>563.83171808915347</v>
      </c>
      <c r="L16">
        <f>N14</f>
        <v>60.966960182090389</v>
      </c>
    </row>
    <row r="17" spans="1:14" x14ac:dyDescent="0.3">
      <c r="A17">
        <v>7</v>
      </c>
      <c r="B17" t="s">
        <v>11</v>
      </c>
      <c r="C17">
        <v>159.6599201700399</v>
      </c>
      <c r="D17">
        <v>158.6519206754501</v>
      </c>
      <c r="E17">
        <v>159.73192013403991</v>
      </c>
      <c r="F17">
        <v>159.73192013545997</v>
      </c>
      <c r="G17">
        <f t="shared" si="0"/>
        <v>637.77568111498988</v>
      </c>
      <c r="L17">
        <f>M14</f>
        <v>476</v>
      </c>
    </row>
    <row r="18" spans="1:14" x14ac:dyDescent="0.3">
      <c r="A18">
        <v>8</v>
      </c>
      <c r="B18" t="s">
        <v>12</v>
      </c>
      <c r="C18">
        <v>159.73192013545997</v>
      </c>
      <c r="D18">
        <v>159.515920243458</v>
      </c>
      <c r="E18">
        <v>159.73192013545997</v>
      </c>
      <c r="F18">
        <v>159.73192013545997</v>
      </c>
      <c r="G18">
        <f t="shared" si="0"/>
        <v>638.71168064983794</v>
      </c>
    </row>
    <row r="19" spans="1:14" x14ac:dyDescent="0.3">
      <c r="A19">
        <v>9</v>
      </c>
      <c r="B19" t="s">
        <v>13</v>
      </c>
      <c r="C19">
        <v>159.73192013545997</v>
      </c>
      <c r="D19">
        <v>159.73192013545997</v>
      </c>
      <c r="E19">
        <v>159.73192013545997</v>
      </c>
      <c r="F19">
        <v>135.43193228523785</v>
      </c>
      <c r="G19">
        <f t="shared" si="0"/>
        <v>614.62769269161777</v>
      </c>
      <c r="K19" t="s">
        <v>51</v>
      </c>
      <c r="L19">
        <f>_xlfn.F.INV.RT(0.05, M13,M14)</f>
        <v>2.6236374659507562</v>
      </c>
    </row>
    <row r="20" spans="1:14" x14ac:dyDescent="0.3">
      <c r="A20">
        <v>10</v>
      </c>
      <c r="B20" t="s">
        <v>15</v>
      </c>
      <c r="C20">
        <v>135.35993232003383</v>
      </c>
      <c r="D20">
        <v>133.1279334372168</v>
      </c>
      <c r="E20">
        <v>135.64793217603389</v>
      </c>
      <c r="F20">
        <v>135.43193228523785</v>
      </c>
      <c r="G20">
        <f>SUM(C20:F20)</f>
        <v>539.56773021852234</v>
      </c>
      <c r="K20" t="s">
        <v>56</v>
      </c>
    </row>
    <row r="21" spans="1:14" x14ac:dyDescent="0.3">
      <c r="A21">
        <v>11</v>
      </c>
      <c r="B21" t="s">
        <v>16</v>
      </c>
      <c r="C21">
        <v>135.43193228523785</v>
      </c>
      <c r="D21">
        <v>133.45193327521977</v>
      </c>
      <c r="E21">
        <v>135.50393224923852</v>
      </c>
      <c r="F21">
        <v>135.64793217723982</v>
      </c>
      <c r="G21">
        <f t="shared" si="0"/>
        <v>540.03572998693596</v>
      </c>
      <c r="K21" t="s">
        <v>57</v>
      </c>
    </row>
    <row r="22" spans="1:14" x14ac:dyDescent="0.3">
      <c r="A22">
        <v>12</v>
      </c>
      <c r="B22" t="s">
        <v>14</v>
      </c>
      <c r="C22">
        <v>135.28793235723654</v>
      </c>
      <c r="D22">
        <v>133.77593311322272</v>
      </c>
      <c r="E22">
        <v>135.57593221323918</v>
      </c>
      <c r="F22">
        <v>135.75593212324083</v>
      </c>
      <c r="G22">
        <f t="shared" si="0"/>
        <v>540.39572980693924</v>
      </c>
    </row>
    <row r="23" spans="1:14" x14ac:dyDescent="0.3">
      <c r="A23">
        <v>13</v>
      </c>
      <c r="B23" t="s">
        <v>18</v>
      </c>
      <c r="C23">
        <v>135.64793217603389</v>
      </c>
      <c r="D23">
        <v>133.59593320322108</v>
      </c>
      <c r="E23">
        <v>135.82793208603394</v>
      </c>
      <c r="F23">
        <v>132.01193399520659</v>
      </c>
      <c r="G23">
        <f t="shared" si="0"/>
        <v>537.08373146049553</v>
      </c>
    </row>
    <row r="24" spans="1:14" x14ac:dyDescent="0.3">
      <c r="A24">
        <v>14</v>
      </c>
      <c r="B24" t="s">
        <v>19</v>
      </c>
      <c r="C24">
        <v>135.39593230323752</v>
      </c>
      <c r="D24">
        <v>134.27993286122734</v>
      </c>
      <c r="E24">
        <v>135.57593221323918</v>
      </c>
      <c r="F24">
        <v>174.85191257559816</v>
      </c>
      <c r="G24">
        <f t="shared" si="0"/>
        <v>580.1037099533022</v>
      </c>
    </row>
    <row r="25" spans="1:14" x14ac:dyDescent="0.3">
      <c r="A25">
        <v>15</v>
      </c>
      <c r="B25" t="s">
        <v>20</v>
      </c>
      <c r="C25">
        <v>174.85191257559816</v>
      </c>
      <c r="D25">
        <v>174.56391271959552</v>
      </c>
      <c r="E25">
        <v>135.50393224923852</v>
      </c>
      <c r="F25">
        <v>174.81591259359783</v>
      </c>
      <c r="G25">
        <f t="shared" ref="G25:G30" si="2">SUM(C25:F25)</f>
        <v>659.73567013803006</v>
      </c>
      <c r="K25" t="s">
        <v>58</v>
      </c>
    </row>
    <row r="26" spans="1:14" x14ac:dyDescent="0.3">
      <c r="A26">
        <v>16</v>
      </c>
      <c r="B26" t="s">
        <v>22</v>
      </c>
      <c r="C26">
        <v>174.85191257559816</v>
      </c>
      <c r="D26">
        <v>174.45591277359455</v>
      </c>
      <c r="E26">
        <v>174.85191257404369</v>
      </c>
      <c r="F26">
        <v>151.91992404138855</v>
      </c>
      <c r="G26">
        <f t="shared" si="2"/>
        <v>676.07966196462496</v>
      </c>
      <c r="K26" t="s">
        <v>59</v>
      </c>
    </row>
    <row r="27" spans="1:14" x14ac:dyDescent="0.3">
      <c r="A27">
        <v>17</v>
      </c>
      <c r="B27" t="s">
        <v>23</v>
      </c>
      <c r="C27">
        <v>151.66792416738625</v>
      </c>
      <c r="D27">
        <v>174.67191266559652</v>
      </c>
      <c r="E27">
        <v>174.85191257559816</v>
      </c>
      <c r="F27">
        <v>133.09193345521646</v>
      </c>
      <c r="G27">
        <f t="shared" si="2"/>
        <v>634.28368286379737</v>
      </c>
      <c r="K27" t="s">
        <v>60</v>
      </c>
      <c r="L27">
        <v>2</v>
      </c>
      <c r="M27">
        <v>3</v>
      </c>
      <c r="N27">
        <v>4</v>
      </c>
    </row>
    <row r="28" spans="1:14" x14ac:dyDescent="0.3">
      <c r="A28">
        <v>18</v>
      </c>
      <c r="B28" t="s">
        <v>21</v>
      </c>
      <c r="C28">
        <v>151.63192418538594</v>
      </c>
      <c r="D28">
        <v>149.14792542736322</v>
      </c>
      <c r="E28">
        <v>151.91992404138855</v>
      </c>
      <c r="F28">
        <v>140.50792974728427</v>
      </c>
      <c r="G28">
        <f t="shared" si="2"/>
        <v>593.20770340142201</v>
      </c>
      <c r="K28" t="s">
        <v>61</v>
      </c>
      <c r="L28" s="3">
        <v>2.7719999999999998</v>
      </c>
      <c r="M28">
        <v>3.3149999999999999</v>
      </c>
      <c r="N28">
        <v>3.6360000000000001</v>
      </c>
    </row>
    <row r="29" spans="1:14" x14ac:dyDescent="0.3">
      <c r="A29">
        <v>19</v>
      </c>
      <c r="B29" t="s">
        <v>24</v>
      </c>
      <c r="C29">
        <v>172.4399137800431</v>
      </c>
      <c r="D29">
        <v>150.94792452737968</v>
      </c>
      <c r="E29">
        <v>172.4399137800431</v>
      </c>
      <c r="F29">
        <v>172.43991378157611</v>
      </c>
      <c r="G29">
        <f t="shared" si="2"/>
        <v>668.26766586904205</v>
      </c>
      <c r="K29" t="s">
        <v>62</v>
      </c>
      <c r="L29">
        <f>L28*SQRT($L$16/$B$3)</f>
        <v>1.9758313578673232</v>
      </c>
      <c r="M29">
        <f t="shared" ref="M29:N29" si="3">M28*SQRT($L$16/$B$3)</f>
        <v>2.3628719160642775</v>
      </c>
      <c r="N29">
        <f t="shared" si="3"/>
        <v>2.5916748979818136</v>
      </c>
    </row>
    <row r="30" spans="1:14" x14ac:dyDescent="0.3">
      <c r="A30">
        <v>20</v>
      </c>
      <c r="B30" t="s">
        <v>25</v>
      </c>
      <c r="C30">
        <v>172.43991378157611</v>
      </c>
      <c r="D30">
        <v>151.30792434738296</v>
      </c>
      <c r="E30">
        <v>172.43991378157611</v>
      </c>
      <c r="F30">
        <v>172.43991378157611</v>
      </c>
      <c r="G30">
        <f t="shared" si="2"/>
        <v>668.62766569211135</v>
      </c>
    </row>
    <row r="31" spans="1:14" x14ac:dyDescent="0.3">
      <c r="A31">
        <v>21</v>
      </c>
      <c r="B31" t="s">
        <v>26</v>
      </c>
      <c r="C31">
        <v>172.43991378157611</v>
      </c>
      <c r="D31">
        <v>172.2959138535748</v>
      </c>
      <c r="E31">
        <v>172.43991378157611</v>
      </c>
      <c r="F31">
        <v>143.2799283613096</v>
      </c>
      <c r="G31">
        <f t="shared" si="0"/>
        <v>660.45566977803674</v>
      </c>
      <c r="K31" t="s">
        <v>73</v>
      </c>
    </row>
    <row r="32" spans="1:14" x14ac:dyDescent="0.3">
      <c r="A32">
        <v>22</v>
      </c>
      <c r="B32" t="s">
        <v>27</v>
      </c>
      <c r="C32">
        <v>143.2439283780358</v>
      </c>
      <c r="D32">
        <v>142.63192868530368</v>
      </c>
      <c r="E32">
        <v>143.74792812603593</v>
      </c>
      <c r="F32">
        <v>129.16793541718062</v>
      </c>
      <c r="G32">
        <f>SUM(C32:F32)</f>
        <v>558.79172060655605</v>
      </c>
      <c r="K32">
        <v>1</v>
      </c>
      <c r="L32">
        <v>2</v>
      </c>
      <c r="M32">
        <v>3</v>
      </c>
      <c r="N32">
        <v>4</v>
      </c>
    </row>
    <row r="33" spans="1:15" x14ac:dyDescent="0.3">
      <c r="A33">
        <v>23</v>
      </c>
      <c r="B33" t="s">
        <v>28</v>
      </c>
      <c r="C33">
        <v>143.53192823531188</v>
      </c>
      <c r="D33">
        <v>142.3079288473007</v>
      </c>
      <c r="E33">
        <v>143.49592825331158</v>
      </c>
      <c r="F33">
        <v>143.74792812731386</v>
      </c>
      <c r="G33">
        <f t="shared" si="0"/>
        <v>573.08371346323793</v>
      </c>
      <c r="K33">
        <f>MIN(C42:F42)</f>
        <v>152.15115469500606</v>
      </c>
      <c r="L33">
        <f>LARGE(C42:F42, 3)</f>
        <v>153.25192337540076</v>
      </c>
      <c r="M33">
        <f>LARGE(C42:F42, 2)</f>
        <v>153.44438481721727</v>
      </c>
      <c r="N33">
        <f>MAX(C42:F42)</f>
        <v>153.98576916191229</v>
      </c>
    </row>
    <row r="34" spans="1:15" x14ac:dyDescent="0.3">
      <c r="A34">
        <v>24</v>
      </c>
      <c r="B34" t="s">
        <v>29</v>
      </c>
      <c r="C34">
        <v>143.2799283613096</v>
      </c>
      <c r="D34">
        <v>140.75992962128655</v>
      </c>
      <c r="E34">
        <v>142.99192850530696</v>
      </c>
      <c r="F34">
        <v>182.41190879566727</v>
      </c>
      <c r="G34">
        <f t="shared" si="0"/>
        <v>609.44369528357038</v>
      </c>
    </row>
    <row r="35" spans="1:15" x14ac:dyDescent="0.3">
      <c r="A35">
        <v>25</v>
      </c>
      <c r="B35" t="s">
        <v>30</v>
      </c>
      <c r="C35">
        <v>182.41190879404559</v>
      </c>
      <c r="D35">
        <v>182.30390884966627</v>
      </c>
      <c r="E35">
        <v>182.37590881366694</v>
      </c>
      <c r="F35">
        <v>182.41190879566727</v>
      </c>
      <c r="G35">
        <f t="shared" si="0"/>
        <v>729.50363525304601</v>
      </c>
      <c r="K35" t="s">
        <v>63</v>
      </c>
    </row>
    <row r="36" spans="1:15" x14ac:dyDescent="0.3">
      <c r="A36">
        <v>26</v>
      </c>
      <c r="B36" t="s">
        <v>31</v>
      </c>
      <c r="C36">
        <v>182.41190879566727</v>
      </c>
      <c r="D36">
        <v>182.33990883166661</v>
      </c>
      <c r="E36">
        <v>182.37590881366694</v>
      </c>
      <c r="F36">
        <v>182.41190879566727</v>
      </c>
      <c r="G36">
        <f>SUM(C36:F36)</f>
        <v>729.53963523666812</v>
      </c>
      <c r="K36" t="s">
        <v>64</v>
      </c>
      <c r="L36" s="4" t="s">
        <v>69</v>
      </c>
      <c r="M36">
        <f>N33-M33</f>
        <v>0.54138434469501817</v>
      </c>
      <c r="N36" t="b">
        <f>M36&gt;O36</f>
        <v>0</v>
      </c>
      <c r="O36">
        <f>L29</f>
        <v>1.9758313578673232</v>
      </c>
    </row>
    <row r="37" spans="1:15" x14ac:dyDescent="0.3">
      <c r="A37">
        <v>27</v>
      </c>
      <c r="B37" t="s">
        <v>32</v>
      </c>
      <c r="G37">
        <f t="shared" si="0"/>
        <v>0</v>
      </c>
      <c r="L37" s="5" t="s">
        <v>70</v>
      </c>
      <c r="M37">
        <f>M33-L33</f>
        <v>0.19246144181650493</v>
      </c>
      <c r="N37" t="b">
        <f t="shared" ref="N37:N41" si="4">M37&gt;O37</f>
        <v>0</v>
      </c>
      <c r="O37">
        <f>L29</f>
        <v>1.9758313578673232</v>
      </c>
    </row>
    <row r="38" spans="1:15" x14ac:dyDescent="0.3">
      <c r="A38">
        <v>28</v>
      </c>
      <c r="B38" t="s">
        <v>33</v>
      </c>
      <c r="G38">
        <f t="shared" si="0"/>
        <v>0</v>
      </c>
      <c r="L38" s="5" t="s">
        <v>71</v>
      </c>
      <c r="M38">
        <f>L33-K33</f>
        <v>1.1007686803947081</v>
      </c>
      <c r="N38" t="b">
        <f t="shared" si="4"/>
        <v>0</v>
      </c>
      <c r="O38">
        <f>L29</f>
        <v>1.9758313578673232</v>
      </c>
    </row>
    <row r="39" spans="1:15" x14ac:dyDescent="0.3">
      <c r="A39">
        <v>29</v>
      </c>
      <c r="B39" t="s">
        <v>34</v>
      </c>
      <c r="G39">
        <f t="shared" si="0"/>
        <v>0</v>
      </c>
      <c r="K39" t="s">
        <v>65</v>
      </c>
      <c r="L39" s="5" t="s">
        <v>68</v>
      </c>
      <c r="M39">
        <f>N33-L33</f>
        <v>0.7338457865115231</v>
      </c>
      <c r="N39" t="b">
        <f t="shared" si="4"/>
        <v>0</v>
      </c>
      <c r="O39">
        <f>M29</f>
        <v>2.3628719160642775</v>
      </c>
    </row>
    <row r="40" spans="1:15" x14ac:dyDescent="0.3">
      <c r="A40">
        <v>30</v>
      </c>
      <c r="B40" t="s">
        <v>35</v>
      </c>
      <c r="G40">
        <f t="shared" si="0"/>
        <v>0</v>
      </c>
      <c r="L40" s="5" t="s">
        <v>72</v>
      </c>
      <c r="M40">
        <f>M33-K33</f>
        <v>1.293230122211213</v>
      </c>
      <c r="N40" t="b">
        <f t="shared" si="4"/>
        <v>0</v>
      </c>
      <c r="O40">
        <f>M29</f>
        <v>2.3628719160642775</v>
      </c>
    </row>
    <row r="41" spans="1:15" x14ac:dyDescent="0.3">
      <c r="A41" t="s">
        <v>40</v>
      </c>
      <c r="C41">
        <f>SUM(C11:C39)</f>
        <v>4003.6299982097198</v>
      </c>
      <c r="D41">
        <f>SUM(D11:D36)</f>
        <v>3955.9300220701575</v>
      </c>
      <c r="E41">
        <f>SUM(E11:E36)</f>
        <v>3989.554005247649</v>
      </c>
      <c r="F41">
        <f>SUM(F11:F36)</f>
        <v>3984.5500077604202</v>
      </c>
      <c r="K41" t="s">
        <v>66</v>
      </c>
      <c r="L41" s="5" t="s">
        <v>67</v>
      </c>
      <c r="M41">
        <f>N33-K33</f>
        <v>1.8346144669062312</v>
      </c>
      <c r="N41" t="b">
        <f t="shared" si="4"/>
        <v>0</v>
      </c>
      <c r="O41">
        <f>N29</f>
        <v>2.5916748979818136</v>
      </c>
    </row>
    <row r="42" spans="1:15" x14ac:dyDescent="0.3">
      <c r="C42">
        <f>AVERAGE(C11:C39)</f>
        <v>153.98576916191229</v>
      </c>
      <c r="D42">
        <f>AVERAGE(D11:D36)</f>
        <v>152.15115469500606</v>
      </c>
      <c r="E42">
        <f>AVERAGE(E11:E36)</f>
        <v>153.44438481721727</v>
      </c>
      <c r="F42">
        <f>AVERAGE(F11:F36)</f>
        <v>153.25192337540076</v>
      </c>
      <c r="H42">
        <f>AVERAGE(C42:F42)</f>
        <v>153.20830801238409</v>
      </c>
    </row>
    <row r="43" spans="1:15" x14ac:dyDescent="0.3">
      <c r="H43" s="6">
        <f>(F41-C41)/C41</f>
        <v>-4.7656727664223582E-3</v>
      </c>
    </row>
    <row r="45" spans="1:15" x14ac:dyDescent="0.3">
      <c r="C45" t="s">
        <v>50</v>
      </c>
    </row>
    <row r="46" spans="1:15" x14ac:dyDescent="0.3">
      <c r="B46">
        <v>1</v>
      </c>
      <c r="C46">
        <f>(C11-$C$42)^2</f>
        <v>21.772969934128419</v>
      </c>
      <c r="D46">
        <f>(D11-$D$42)^2</f>
        <v>32.18027856584785</v>
      </c>
      <c r="E46">
        <f>(E11-$E$42)^2</f>
        <v>27.494668093014887</v>
      </c>
      <c r="F46">
        <f>(F11-$F$42)^2</f>
        <v>29.550066450451393</v>
      </c>
    </row>
    <row r="47" spans="1:15" x14ac:dyDescent="0.3">
      <c r="B47">
        <v>2</v>
      </c>
      <c r="C47">
        <f t="shared" ref="C47:C71" si="5">(C12-$C$42)^2</f>
        <v>21.106228460114547</v>
      </c>
      <c r="D47">
        <f t="shared" ref="D47:D71" si="6">(D12-$D$42)^2</f>
        <v>35.102855335629741</v>
      </c>
      <c r="E47">
        <f t="shared" ref="E47:E71" si="7">(E12-$E$42)^2</f>
        <v>27.494668107809719</v>
      </c>
      <c r="F47">
        <f t="shared" ref="F47:F71" si="8">(F12-$F$42)^2</f>
        <v>29.550066450451393</v>
      </c>
    </row>
    <row r="48" spans="1:15" x14ac:dyDescent="0.3">
      <c r="B48">
        <v>3</v>
      </c>
      <c r="C48">
        <f t="shared" si="5"/>
        <v>21.772969947291219</v>
      </c>
      <c r="D48">
        <f t="shared" si="6"/>
        <v>22.436960308995179</v>
      </c>
      <c r="E48">
        <f t="shared" si="7"/>
        <v>27.494668107809719</v>
      </c>
      <c r="F48">
        <f t="shared" si="8"/>
        <v>29.550066450451393</v>
      </c>
    </row>
    <row r="49" spans="2:6" x14ac:dyDescent="0.3">
      <c r="B49">
        <v>4</v>
      </c>
      <c r="C49">
        <f t="shared" si="5"/>
        <v>331.01570688862716</v>
      </c>
      <c r="D49">
        <f t="shared" si="6"/>
        <v>359.14878852614618</v>
      </c>
      <c r="E49">
        <f t="shared" si="7"/>
        <v>312.88135874973887</v>
      </c>
      <c r="F49">
        <f t="shared" si="8"/>
        <v>308.63431537109625</v>
      </c>
    </row>
    <row r="50" spans="2:6" x14ac:dyDescent="0.3">
      <c r="B50">
        <v>5</v>
      </c>
      <c r="C50">
        <f t="shared" si="5"/>
        <v>340.24890007299604</v>
      </c>
      <c r="D50">
        <f t="shared" si="6"/>
        <v>379.90769699837142</v>
      </c>
      <c r="E50">
        <f t="shared" si="7"/>
        <v>330.96532585374268</v>
      </c>
      <c r="F50">
        <f t="shared" si="8"/>
        <v>303.5954724098512</v>
      </c>
    </row>
    <row r="51" spans="2:6" x14ac:dyDescent="0.3">
      <c r="B51">
        <v>6</v>
      </c>
      <c r="C51">
        <f t="shared" si="5"/>
        <v>361.83026926075382</v>
      </c>
      <c r="D51">
        <f t="shared" si="6"/>
        <v>351.0085209739633</v>
      </c>
      <c r="E51">
        <f t="shared" si="7"/>
        <v>314.15622266294037</v>
      </c>
      <c r="F51">
        <f t="shared" si="8"/>
        <v>41.99035801037784</v>
      </c>
    </row>
    <row r="52" spans="2:6" x14ac:dyDescent="0.3">
      <c r="B52">
        <v>7</v>
      </c>
      <c r="C52">
        <f t="shared" si="5"/>
        <v>32.195989663035562</v>
      </c>
      <c r="D52">
        <f t="shared" si="6"/>
        <v>42.259958332498606</v>
      </c>
      <c r="E52">
        <f t="shared" si="7"/>
        <v>39.533100360291989</v>
      </c>
      <c r="F52">
        <f t="shared" si="8"/>
        <v>41.99035801037784</v>
      </c>
    </row>
    <row r="53" spans="2:6" x14ac:dyDescent="0.3">
      <c r="B53">
        <v>8</v>
      </c>
      <c r="C53">
        <f t="shared" si="5"/>
        <v>33.018251010803013</v>
      </c>
      <c r="D53">
        <f t="shared" si="6"/>
        <v>54.239771583664634</v>
      </c>
      <c r="E53">
        <f t="shared" si="7"/>
        <v>39.533100378149371</v>
      </c>
      <c r="F53">
        <f t="shared" si="8"/>
        <v>41.99035801037784</v>
      </c>
    </row>
    <row r="54" spans="2:6" x14ac:dyDescent="0.3">
      <c r="B54">
        <v>9</v>
      </c>
      <c r="C54">
        <f t="shared" si="5"/>
        <v>33.018251010803013</v>
      </c>
      <c r="D54">
        <f t="shared" si="6"/>
        <v>57.468004663180459</v>
      </c>
      <c r="E54">
        <f t="shared" si="7"/>
        <v>39.533100378149371</v>
      </c>
      <c r="F54">
        <f t="shared" si="8"/>
        <v>317.5520824534857</v>
      </c>
    </row>
    <row r="55" spans="2:6" x14ac:dyDescent="0.3">
      <c r="B55">
        <v>10</v>
      </c>
      <c r="C55">
        <f t="shared" si="5"/>
        <v>346.92179806027667</v>
      </c>
      <c r="D55">
        <f t="shared" si="6"/>
        <v>361.88294702280518</v>
      </c>
      <c r="E55">
        <f t="shared" si="7"/>
        <v>316.71372660988288</v>
      </c>
      <c r="F55">
        <f t="shared" si="8"/>
        <v>317.5520824534857</v>
      </c>
    </row>
    <row r="56" spans="2:6" x14ac:dyDescent="0.3">
      <c r="B56">
        <v>11</v>
      </c>
      <c r="C56">
        <f t="shared" si="5"/>
        <v>344.2448628462443</v>
      </c>
      <c r="D56">
        <f t="shared" si="6"/>
        <v>349.66088170619417</v>
      </c>
      <c r="E56">
        <f t="shared" si="7"/>
        <v>321.85983834389543</v>
      </c>
      <c r="F56">
        <f t="shared" si="8"/>
        <v>309.9005061049279</v>
      </c>
    </row>
    <row r="57" spans="2:6" x14ac:dyDescent="0.3">
      <c r="B57">
        <v>12</v>
      </c>
      <c r="C57">
        <f t="shared" si="5"/>
        <v>349.60910117428688</v>
      </c>
      <c r="D57">
        <f t="shared" si="6"/>
        <v>337.64876817963608</v>
      </c>
      <c r="E57">
        <f t="shared" si="7"/>
        <v>319.28159846061118</v>
      </c>
      <c r="F57">
        <f t="shared" si="8"/>
        <v>306.10970989565709</v>
      </c>
    </row>
    <row r="58" spans="2:6" x14ac:dyDescent="0.3">
      <c r="B58">
        <v>13</v>
      </c>
      <c r="C58">
        <f t="shared" si="5"/>
        <v>336.27626532064971</v>
      </c>
      <c r="D58">
        <f t="shared" si="6"/>
        <v>344.29624460919911</v>
      </c>
      <c r="E58">
        <f t="shared" si="7"/>
        <v>310.33940683001657</v>
      </c>
      <c r="F58">
        <f t="shared" si="8"/>
        <v>451.13714887076128</v>
      </c>
    </row>
    <row r="59" spans="2:6" x14ac:dyDescent="0.3">
      <c r="B59">
        <v>14</v>
      </c>
      <c r="C59">
        <f t="shared" si="5"/>
        <v>345.58203443214313</v>
      </c>
      <c r="D59">
        <f t="shared" si="6"/>
        <v>319.3805698321292</v>
      </c>
      <c r="E59">
        <f t="shared" si="7"/>
        <v>319.28159846061118</v>
      </c>
      <c r="F59">
        <f t="shared" si="8"/>
        <v>466.55953344864429</v>
      </c>
    </row>
    <row r="60" spans="2:6" x14ac:dyDescent="0.3">
      <c r="B60">
        <v>15</v>
      </c>
      <c r="C60">
        <f t="shared" si="5"/>
        <v>435.39594096050644</v>
      </c>
      <c r="D60">
        <f t="shared" si="6"/>
        <v>502.33172226879947</v>
      </c>
      <c r="E60">
        <f t="shared" si="7"/>
        <v>321.85983834389543</v>
      </c>
      <c r="F60">
        <f t="shared" si="8"/>
        <v>465.00563100251929</v>
      </c>
    </row>
    <row r="61" spans="2:6" x14ac:dyDescent="0.3">
      <c r="B61">
        <v>16</v>
      </c>
      <c r="C61">
        <f t="shared" si="5"/>
        <v>435.39594096050644</v>
      </c>
      <c r="D61">
        <f t="shared" si="6"/>
        <v>497.50223294435858</v>
      </c>
      <c r="E61">
        <f t="shared" si="7"/>
        <v>458.28224465929384</v>
      </c>
      <c r="F61">
        <f t="shared" si="8"/>
        <v>1.7742222258089699</v>
      </c>
    </row>
    <row r="62" spans="2:6" x14ac:dyDescent="0.3">
      <c r="B62">
        <v>17</v>
      </c>
      <c r="C62">
        <f t="shared" si="5"/>
        <v>5.3724054186494232</v>
      </c>
      <c r="D62">
        <f t="shared" si="6"/>
        <v>507.18453956991402</v>
      </c>
      <c r="E62">
        <f t="shared" si="7"/>
        <v>458.2822447258485</v>
      </c>
      <c r="F62">
        <f t="shared" si="8"/>
        <v>406.42519358193266</v>
      </c>
    </row>
    <row r="63" spans="2:6" x14ac:dyDescent="0.3">
      <c r="B63">
        <v>18</v>
      </c>
      <c r="C63">
        <f t="shared" si="5"/>
        <v>5.5405861735183164</v>
      </c>
      <c r="D63">
        <f t="shared" si="6"/>
        <v>9.0193860340265299</v>
      </c>
      <c r="E63">
        <f t="shared" si="7"/>
        <v>2.3239806570402863</v>
      </c>
      <c r="F63">
        <f t="shared" si="8"/>
        <v>162.40937359347393</v>
      </c>
    </row>
    <row r="64" spans="2:6" x14ac:dyDescent="0.3">
      <c r="B64">
        <v>19</v>
      </c>
      <c r="C64">
        <f t="shared" si="5"/>
        <v>340.55545358688641</v>
      </c>
      <c r="D64">
        <f t="shared" si="6"/>
        <v>1.4477628362861892</v>
      </c>
      <c r="E64">
        <f t="shared" si="7"/>
        <v>360.83012057755496</v>
      </c>
      <c r="F64">
        <f t="shared" si="8"/>
        <v>368.17897582747707</v>
      </c>
    </row>
    <row r="65" spans="2:6" x14ac:dyDescent="0.3">
      <c r="B65">
        <v>20</v>
      </c>
      <c r="C65">
        <f t="shared" si="5"/>
        <v>340.55545364346716</v>
      </c>
      <c r="D65">
        <f t="shared" si="6"/>
        <v>0.71103741915255947</v>
      </c>
      <c r="E65">
        <f t="shared" si="7"/>
        <v>360.83012063579565</v>
      </c>
      <c r="F65">
        <f t="shared" si="8"/>
        <v>368.17897582747707</v>
      </c>
    </row>
    <row r="66" spans="2:6" x14ac:dyDescent="0.3">
      <c r="B66">
        <v>21</v>
      </c>
      <c r="C66">
        <f t="shared" si="5"/>
        <v>340.55545364346716</v>
      </c>
      <c r="D66">
        <f t="shared" si="6"/>
        <v>405.81132155673936</v>
      </c>
      <c r="E66">
        <f t="shared" si="7"/>
        <v>360.83012063579565</v>
      </c>
      <c r="F66">
        <f t="shared" si="8"/>
        <v>99.44068456105903</v>
      </c>
    </row>
    <row r="67" spans="2:6" x14ac:dyDescent="0.3">
      <c r="B67">
        <v>22</v>
      </c>
      <c r="C67">
        <f t="shared" si="5"/>
        <v>115.38714342615215</v>
      </c>
      <c r="D67">
        <f t="shared" si="6"/>
        <v>90.615663823794279</v>
      </c>
      <c r="E67">
        <f t="shared" si="7"/>
        <v>94.021272363955362</v>
      </c>
      <c r="F67">
        <f t="shared" si="8"/>
        <v>580.03847597169317</v>
      </c>
    </row>
    <row r="68" spans="2:6" x14ac:dyDescent="0.3">
      <c r="B68">
        <v>23</v>
      </c>
      <c r="C68">
        <f t="shared" si="5"/>
        <v>109.28279011866564</v>
      </c>
      <c r="D68">
        <f t="shared" si="6"/>
        <v>96.889095088934809</v>
      </c>
      <c r="E68">
        <f t="shared" si="7"/>
        <v>98.971788003918292</v>
      </c>
      <c r="F68">
        <f t="shared" si="8"/>
        <v>90.325925675658553</v>
      </c>
    </row>
    <row r="69" spans="2:6" x14ac:dyDescent="0.3">
      <c r="B69">
        <v>24</v>
      </c>
      <c r="C69">
        <f t="shared" si="5"/>
        <v>114.61502724784917</v>
      </c>
      <c r="D69">
        <f t="shared" si="6"/>
        <v>129.76000868013608</v>
      </c>
      <c r="E69">
        <f t="shared" si="7"/>
        <v>109.2538429523937</v>
      </c>
      <c r="F69">
        <f t="shared" si="8"/>
        <v>850.30474971015531</v>
      </c>
    </row>
    <row r="70" spans="2:6" x14ac:dyDescent="0.3">
      <c r="B70">
        <v>25</v>
      </c>
      <c r="C70">
        <f t="shared" si="5"/>
        <v>808.04541438553952</v>
      </c>
      <c r="D70">
        <f t="shared" si="6"/>
        <v>909.18858311137888</v>
      </c>
      <c r="E70">
        <f t="shared" si="7"/>
        <v>837.03308075714313</v>
      </c>
      <c r="F70">
        <f t="shared" si="8"/>
        <v>850.30474971015531</v>
      </c>
    </row>
    <row r="71" spans="2:6" x14ac:dyDescent="0.3">
      <c r="B71">
        <v>26</v>
      </c>
      <c r="C71">
        <f t="shared" si="5"/>
        <v>808.04541447773602</v>
      </c>
      <c r="D71">
        <f t="shared" si="6"/>
        <v>911.36087632373938</v>
      </c>
      <c r="E71">
        <f t="shared" si="7"/>
        <v>837.03308075714313</v>
      </c>
      <c r="F71">
        <f t="shared" si="8"/>
        <v>850.30474971015531</v>
      </c>
    </row>
    <row r="72" spans="2:6" x14ac:dyDescent="0.3">
      <c r="B72">
        <v>27</v>
      </c>
    </row>
    <row r="73" spans="2:6" x14ac:dyDescent="0.3">
      <c r="B73">
        <v>28</v>
      </c>
    </row>
    <row r="74" spans="2:6" x14ac:dyDescent="0.3">
      <c r="B74">
        <v>29</v>
      </c>
    </row>
    <row r="75" spans="2:6" x14ac:dyDescent="0.3">
      <c r="B75">
        <v>30</v>
      </c>
    </row>
  </sheetData>
  <mergeCells count="1">
    <mergeCell ref="A9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794-061B-4212-A2ED-94A3A724A230}">
  <dimension ref="A1:O75"/>
  <sheetViews>
    <sheetView topLeftCell="A19" zoomScale="145" zoomScaleNormal="145" workbookViewId="0">
      <selection activeCell="F44" sqref="F44"/>
    </sheetView>
  </sheetViews>
  <sheetFormatPr defaultRowHeight="14.4" x14ac:dyDescent="0.3"/>
  <cols>
    <col min="1" max="1" width="8" bestFit="1" customWidth="1"/>
    <col min="2" max="2" width="9" bestFit="1" customWidth="1"/>
    <col min="3" max="6" width="16.88671875" customWidth="1"/>
    <col min="12" max="12" width="14.44140625" bestFit="1" customWidth="1"/>
    <col min="14" max="14" width="14.6640625" bestFit="1" customWidth="1"/>
  </cols>
  <sheetData>
    <row r="1" spans="1:15" x14ac:dyDescent="0.3">
      <c r="A1" t="s">
        <v>36</v>
      </c>
      <c r="B1">
        <f>ROWS(B11:B40)</f>
        <v>30</v>
      </c>
    </row>
    <row r="2" spans="1:15" x14ac:dyDescent="0.3">
      <c r="A2" t="s">
        <v>37</v>
      </c>
      <c r="B2">
        <f>COLUMNS(C10:F10)</f>
        <v>4</v>
      </c>
    </row>
    <row r="3" spans="1:15" x14ac:dyDescent="0.3">
      <c r="A3" t="s">
        <v>38</v>
      </c>
      <c r="B3">
        <f>B2*B1</f>
        <v>120</v>
      </c>
    </row>
    <row r="4" spans="1:15" x14ac:dyDescent="0.3">
      <c r="A4" t="s">
        <v>39</v>
      </c>
      <c r="B4">
        <f>SUM(C11:F40)</f>
        <v>115.63741487432839</v>
      </c>
    </row>
    <row r="5" spans="1:15" x14ac:dyDescent="0.3">
      <c r="A5" t="s">
        <v>42</v>
      </c>
      <c r="B5">
        <f>(B4^2)/B1</f>
        <v>445.73372396058483</v>
      </c>
    </row>
    <row r="6" spans="1:15" x14ac:dyDescent="0.3">
      <c r="A6" t="s">
        <v>52</v>
      </c>
      <c r="B6" t="s">
        <v>55</v>
      </c>
    </row>
    <row r="7" spans="1:15" x14ac:dyDescent="0.3">
      <c r="A7" t="s">
        <v>53</v>
      </c>
      <c r="B7" t="s">
        <v>54</v>
      </c>
    </row>
    <row r="9" spans="1:15" x14ac:dyDescent="0.3">
      <c r="A9" s="7" t="s">
        <v>75</v>
      </c>
      <c r="B9" s="7"/>
      <c r="C9" s="7"/>
      <c r="D9" s="7"/>
      <c r="E9" s="7"/>
      <c r="F9" s="7"/>
      <c r="G9" s="7"/>
    </row>
    <row r="10" spans="1:15" ht="42.6" customHeight="1" x14ac:dyDescent="0.3">
      <c r="A10" s="1" t="s">
        <v>17</v>
      </c>
      <c r="B10" s="1" t="s">
        <v>4</v>
      </c>
      <c r="C10" s="1" t="s">
        <v>0</v>
      </c>
      <c r="D10" s="1" t="s">
        <v>3</v>
      </c>
      <c r="E10" s="1" t="s">
        <v>1</v>
      </c>
      <c r="F10" s="1" t="s">
        <v>2</v>
      </c>
      <c r="G10" s="1" t="s">
        <v>41</v>
      </c>
    </row>
    <row r="11" spans="1:15" x14ac:dyDescent="0.3">
      <c r="A11">
        <v>1</v>
      </c>
      <c r="B11" t="s">
        <v>5</v>
      </c>
      <c r="C11" s="8">
        <v>1.132549332</v>
      </c>
      <c r="D11" s="8">
        <v>0.93231098999999995</v>
      </c>
      <c r="E11" s="8">
        <v>1.1490243659999999</v>
      </c>
      <c r="F11" s="8">
        <v>1.1411788332161801</v>
      </c>
      <c r="G11">
        <f>SUM(C11:F11)</f>
        <v>4.3550635212161799</v>
      </c>
    </row>
    <row r="12" spans="1:15" x14ac:dyDescent="0.3">
      <c r="A12">
        <v>2</v>
      </c>
      <c r="B12" t="s">
        <v>6</v>
      </c>
      <c r="C12" s="8">
        <v>1.1360863913608601</v>
      </c>
      <c r="D12" s="8">
        <v>0.997095837366892</v>
      </c>
      <c r="E12" s="8">
        <v>1.14960550273113</v>
      </c>
      <c r="F12" s="8">
        <v>1.14382045088566</v>
      </c>
      <c r="G12">
        <f t="shared" ref="G12:G40" si="0">SUM(C12:F12)</f>
        <v>4.426608182344542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</row>
    <row r="13" spans="1:15" x14ac:dyDescent="0.3">
      <c r="A13">
        <v>3</v>
      </c>
      <c r="B13" t="s">
        <v>7</v>
      </c>
      <c r="C13" s="8">
        <v>1.1334530221424199</v>
      </c>
      <c r="D13" s="8">
        <v>0.94733299680296101</v>
      </c>
      <c r="E13" s="8">
        <v>1.1474003028773301</v>
      </c>
      <c r="F13" s="8">
        <v>1.1401484751203801</v>
      </c>
      <c r="G13">
        <f t="shared" si="0"/>
        <v>4.368334796943091</v>
      </c>
      <c r="K13" t="s">
        <v>48</v>
      </c>
      <c r="L13">
        <f>B1*((C42-H42)^2+(D42-H42)^2+(E42-H42)^2+(F42-H42)^2)</f>
        <v>0.29340495412918416</v>
      </c>
      <c r="M13">
        <f>B2-1</f>
        <v>3</v>
      </c>
      <c r="N13">
        <f>L13/M13</f>
        <v>9.7801651376394724E-2</v>
      </c>
      <c r="O13">
        <f>N13/N14</f>
        <v>603.51693954469511</v>
      </c>
    </row>
    <row r="14" spans="1:15" x14ac:dyDescent="0.3">
      <c r="A14">
        <v>4</v>
      </c>
      <c r="B14" t="s">
        <v>8</v>
      </c>
      <c r="C14" s="8">
        <v>1.1331875220000001</v>
      </c>
      <c r="D14" s="8">
        <v>0.97354709399999995</v>
      </c>
      <c r="E14" s="8">
        <v>1.1440530170000001</v>
      </c>
      <c r="F14" s="8">
        <v>1.15220700152207</v>
      </c>
      <c r="G14">
        <f>SUM(C14:F14)</f>
        <v>4.4029946345220701</v>
      </c>
      <c r="K14" t="s">
        <v>49</v>
      </c>
      <c r="L14">
        <f>SUM(C46:F71)</f>
        <v>7.7137165512346381E-2</v>
      </c>
      <c r="M14">
        <f>B2*(B3-1)</f>
        <v>476</v>
      </c>
      <c r="N14">
        <f t="shared" ref="N14:N15" si="1">L14/M14</f>
        <v>1.6205286872341676E-4</v>
      </c>
    </row>
    <row r="15" spans="1:15" x14ac:dyDescent="0.3">
      <c r="A15">
        <v>5</v>
      </c>
      <c r="B15" t="s">
        <v>9</v>
      </c>
      <c r="C15" s="8">
        <v>1.13079489244219</v>
      </c>
      <c r="D15" s="8">
        <v>0.99927611168562502</v>
      </c>
      <c r="E15" s="8">
        <v>1.1411463783281</v>
      </c>
      <c r="F15" s="8">
        <v>1.1486707089552199</v>
      </c>
      <c r="G15">
        <f t="shared" si="0"/>
        <v>4.4198880914111349</v>
      </c>
      <c r="K15" t="s">
        <v>39</v>
      </c>
      <c r="L15">
        <f>SUM(L13:L14)</f>
        <v>0.37054211964153055</v>
      </c>
      <c r="M15">
        <f>SUM(M13:M14)</f>
        <v>479</v>
      </c>
      <c r="N15">
        <f t="shared" si="1"/>
        <v>7.7357436250841453E-4</v>
      </c>
    </row>
    <row r="16" spans="1:15" x14ac:dyDescent="0.3">
      <c r="A16">
        <v>6</v>
      </c>
      <c r="B16" t="s">
        <v>10</v>
      </c>
      <c r="C16" s="8">
        <v>1.1269111392114</v>
      </c>
      <c r="D16" s="8">
        <v>1.05619440225645</v>
      </c>
      <c r="E16" s="8">
        <v>1.1463869463869401</v>
      </c>
      <c r="F16" s="8">
        <v>1.1537544696066699</v>
      </c>
      <c r="G16">
        <f t="shared" si="0"/>
        <v>4.4832469574614597</v>
      </c>
      <c r="L16">
        <f>N14</f>
        <v>1.6205286872341676E-4</v>
      </c>
    </row>
    <row r="17" spans="1:14" x14ac:dyDescent="0.3">
      <c r="A17">
        <v>7</v>
      </c>
      <c r="B17" t="s">
        <v>11</v>
      </c>
      <c r="C17" s="8">
        <v>1.1361768729999999</v>
      </c>
      <c r="D17" s="8">
        <v>1.0402164110000001</v>
      </c>
      <c r="E17" s="8">
        <v>1.158356602</v>
      </c>
      <c r="F17" s="8">
        <v>1.1592814371257401</v>
      </c>
      <c r="G17">
        <f t="shared" si="0"/>
        <v>4.4940313231257401</v>
      </c>
      <c r="L17">
        <f>M14</f>
        <v>476</v>
      </c>
    </row>
    <row r="18" spans="1:14" x14ac:dyDescent="0.3">
      <c r="A18">
        <v>8</v>
      </c>
      <c r="B18" t="s">
        <v>12</v>
      </c>
      <c r="C18" s="8">
        <v>1.13526192337763</v>
      </c>
      <c r="D18" s="8">
        <v>1.10466222645099</v>
      </c>
      <c r="E18" s="8">
        <v>1.1604395604395601</v>
      </c>
      <c r="F18" s="8">
        <v>1.1522666402142601</v>
      </c>
      <c r="G18">
        <f t="shared" si="0"/>
        <v>4.5526303504824401</v>
      </c>
    </row>
    <row r="19" spans="1:14" x14ac:dyDescent="0.3">
      <c r="A19">
        <v>9</v>
      </c>
      <c r="B19" t="s">
        <v>13</v>
      </c>
      <c r="C19" s="8">
        <v>1.1332682926829201</v>
      </c>
      <c r="D19" s="8">
        <v>1.1114725863553701</v>
      </c>
      <c r="E19" s="8">
        <v>1.1581256231306001</v>
      </c>
      <c r="F19" s="8">
        <v>1.1376213592233</v>
      </c>
      <c r="G19">
        <f t="shared" si="0"/>
        <v>4.5404878613921902</v>
      </c>
      <c r="K19" t="s">
        <v>51</v>
      </c>
      <c r="L19">
        <f>_xlfn.F.INV.RT(0.05, M13,M14)</f>
        <v>2.6236374659507562</v>
      </c>
    </row>
    <row r="20" spans="1:14" x14ac:dyDescent="0.3">
      <c r="A20">
        <v>10</v>
      </c>
      <c r="B20" t="s">
        <v>15</v>
      </c>
      <c r="C20" s="8">
        <v>1.134994557</v>
      </c>
      <c r="D20" s="8">
        <v>1.0653700079999999</v>
      </c>
      <c r="E20" s="8">
        <v>1.142509432</v>
      </c>
      <c r="F20" s="8">
        <v>1.1373286424845299</v>
      </c>
      <c r="G20">
        <f>SUM(C20:F20)</f>
        <v>4.4802026394845296</v>
      </c>
      <c r="K20" t="s">
        <v>56</v>
      </c>
    </row>
    <row r="21" spans="1:14" x14ac:dyDescent="0.3">
      <c r="A21">
        <v>11</v>
      </c>
      <c r="B21" t="s">
        <v>16</v>
      </c>
      <c r="C21" s="8">
        <v>1.11993788077887</v>
      </c>
      <c r="D21" s="8">
        <v>1.0990649781039099</v>
      </c>
      <c r="E21" s="8">
        <v>1.1391283234187199</v>
      </c>
      <c r="F21" s="8">
        <v>1.1373666343355899</v>
      </c>
      <c r="G21">
        <f t="shared" si="0"/>
        <v>4.4954978166370889</v>
      </c>
      <c r="K21" t="s">
        <v>57</v>
      </c>
    </row>
    <row r="22" spans="1:14" x14ac:dyDescent="0.3">
      <c r="A22">
        <v>12</v>
      </c>
      <c r="B22" t="s">
        <v>14</v>
      </c>
      <c r="C22" s="8">
        <v>1.1282514450867001</v>
      </c>
      <c r="D22" s="8">
        <v>1.08357617437929</v>
      </c>
      <c r="E22" s="8">
        <v>1.13575317604355</v>
      </c>
      <c r="F22" s="8">
        <v>1.1436578530522701</v>
      </c>
      <c r="G22">
        <f t="shared" si="0"/>
        <v>4.4912386485618097</v>
      </c>
    </row>
    <row r="23" spans="1:14" x14ac:dyDescent="0.3">
      <c r="A23">
        <v>13</v>
      </c>
      <c r="B23" t="s">
        <v>18</v>
      </c>
      <c r="C23" s="8">
        <v>1.131588469</v>
      </c>
      <c r="D23" s="8">
        <v>0.97277982133473395</v>
      </c>
      <c r="E23" s="8">
        <v>1.1392190149999999</v>
      </c>
      <c r="F23" s="8">
        <v>1.1348398311398</v>
      </c>
      <c r="G23">
        <f t="shared" si="0"/>
        <v>4.3784271364745342</v>
      </c>
    </row>
    <row r="24" spans="1:14" x14ac:dyDescent="0.3">
      <c r="A24">
        <v>14</v>
      </c>
      <c r="B24" t="s">
        <v>19</v>
      </c>
      <c r="C24" s="8">
        <v>1.13120695904313</v>
      </c>
      <c r="D24" s="8">
        <v>1.0221953631469001</v>
      </c>
      <c r="E24" s="8">
        <v>1.1367272727272699</v>
      </c>
      <c r="F24" s="8">
        <v>1.14879550806013</v>
      </c>
      <c r="G24">
        <f t="shared" si="0"/>
        <v>4.4389251029774295</v>
      </c>
    </row>
    <row r="25" spans="1:14" x14ac:dyDescent="0.3">
      <c r="A25">
        <v>15</v>
      </c>
      <c r="B25" t="s">
        <v>20</v>
      </c>
      <c r="C25" s="8">
        <v>1.1262541063659699</v>
      </c>
      <c r="D25" s="8">
        <v>0.90647121900000005</v>
      </c>
      <c r="E25" s="8">
        <v>1.1404938571949801</v>
      </c>
      <c r="F25" s="8">
        <v>1.1465244508722701</v>
      </c>
      <c r="G25">
        <f t="shared" ref="G25:G30" si="2">SUM(C25:F25)</f>
        <v>4.3197436334332195</v>
      </c>
      <c r="K25" t="s">
        <v>58</v>
      </c>
    </row>
    <row r="26" spans="1:14" x14ac:dyDescent="0.3">
      <c r="A26">
        <v>16</v>
      </c>
      <c r="B26" t="s">
        <v>22</v>
      </c>
      <c r="C26" s="8">
        <v>1.1343110077796601</v>
      </c>
      <c r="D26" s="8">
        <v>0.95775712234565102</v>
      </c>
      <c r="E26" s="8">
        <v>1.1500453310000001</v>
      </c>
      <c r="F26" s="8">
        <v>1.13465927616563</v>
      </c>
      <c r="G26">
        <f t="shared" si="2"/>
        <v>4.3767727372909411</v>
      </c>
      <c r="K26" t="s">
        <v>59</v>
      </c>
    </row>
    <row r="27" spans="1:14" x14ac:dyDescent="0.3">
      <c r="A27">
        <v>17</v>
      </c>
      <c r="B27" t="s">
        <v>23</v>
      </c>
      <c r="C27" s="8">
        <v>1.11964343249919</v>
      </c>
      <c r="D27" s="8">
        <v>1.00626934370288</v>
      </c>
      <c r="E27" s="8">
        <v>1.1517159978209499</v>
      </c>
      <c r="F27" s="8">
        <v>1.1334152334152301</v>
      </c>
      <c r="G27">
        <f t="shared" si="2"/>
        <v>4.4110440074382495</v>
      </c>
      <c r="K27" t="s">
        <v>60</v>
      </c>
      <c r="L27">
        <v>2</v>
      </c>
      <c r="M27">
        <v>3</v>
      </c>
      <c r="N27">
        <v>4</v>
      </c>
    </row>
    <row r="28" spans="1:14" x14ac:dyDescent="0.3">
      <c r="A28">
        <v>18</v>
      </c>
      <c r="B28" t="s">
        <v>21</v>
      </c>
      <c r="C28" s="8">
        <v>1.11441085354128</v>
      </c>
      <c r="D28" s="8">
        <v>1.0221230160000001</v>
      </c>
      <c r="E28" s="8">
        <v>1.13748774376293</v>
      </c>
      <c r="F28" s="8">
        <v>1.1525042205965099</v>
      </c>
      <c r="G28">
        <f t="shared" si="2"/>
        <v>4.4265258339007199</v>
      </c>
      <c r="K28" t="s">
        <v>61</v>
      </c>
      <c r="L28" s="3">
        <v>2.7719999999999998</v>
      </c>
      <c r="M28">
        <v>3.3149999999999999</v>
      </c>
      <c r="N28">
        <v>3.6360000000000001</v>
      </c>
    </row>
    <row r="29" spans="1:14" x14ac:dyDescent="0.3">
      <c r="A29">
        <v>19</v>
      </c>
      <c r="B29" t="s">
        <v>24</v>
      </c>
      <c r="C29" s="8">
        <v>1.1258278150000001</v>
      </c>
      <c r="D29" s="8">
        <v>1.0613496932515301</v>
      </c>
      <c r="E29" s="8">
        <v>1.159163086</v>
      </c>
      <c r="F29" s="8">
        <v>1.14854234150856</v>
      </c>
      <c r="G29">
        <f t="shared" si="2"/>
        <v>4.4948829357600903</v>
      </c>
      <c r="K29" t="s">
        <v>62</v>
      </c>
      <c r="L29">
        <f>L28*SQRT($L$16/$B$3)</f>
        <v>3.2212984576937744E-3</v>
      </c>
      <c r="M29">
        <f t="shared" ref="M29:N29" si="3">M28*SQRT($L$16/$B$3)</f>
        <v>3.8523103850125768E-3</v>
      </c>
      <c r="N29">
        <f t="shared" si="3"/>
        <v>4.2253395354165096E-3</v>
      </c>
    </row>
    <row r="30" spans="1:14" x14ac:dyDescent="0.3">
      <c r="A30">
        <v>20</v>
      </c>
      <c r="B30" t="s">
        <v>25</v>
      </c>
      <c r="C30" s="8">
        <v>1.12582781456953</v>
      </c>
      <c r="D30" s="8">
        <v>1.0842017507294699</v>
      </c>
      <c r="E30" s="8">
        <v>1.15452600241882</v>
      </c>
      <c r="F30" s="8">
        <v>1.1531313882178</v>
      </c>
      <c r="G30">
        <f t="shared" si="2"/>
        <v>4.5176869559356199</v>
      </c>
    </row>
    <row r="31" spans="1:14" x14ac:dyDescent="0.3">
      <c r="A31">
        <v>21</v>
      </c>
      <c r="B31" t="s">
        <v>26</v>
      </c>
      <c r="C31" s="8">
        <v>1.1176152737752101</v>
      </c>
      <c r="D31" s="8">
        <v>1.05421481985044</v>
      </c>
      <c r="E31" s="8">
        <v>1.15678598061148</v>
      </c>
      <c r="F31" s="8">
        <v>1.1478289691746699</v>
      </c>
      <c r="G31">
        <f t="shared" si="0"/>
        <v>4.4764450434118004</v>
      </c>
      <c r="K31" t="s">
        <v>73</v>
      </c>
    </row>
    <row r="32" spans="1:14" x14ac:dyDescent="0.3">
      <c r="A32">
        <v>22</v>
      </c>
      <c r="B32" t="s">
        <v>27</v>
      </c>
      <c r="C32" s="8">
        <v>1.136492684</v>
      </c>
      <c r="D32" s="8">
        <v>1.0404141950000001</v>
      </c>
      <c r="E32" s="8">
        <v>1.145256917</v>
      </c>
      <c r="F32" s="8">
        <v>1.1473671379814701</v>
      </c>
      <c r="G32">
        <f>SUM(C32:F32)</f>
        <v>4.4695309339814697</v>
      </c>
      <c r="K32">
        <v>1</v>
      </c>
      <c r="L32">
        <v>2</v>
      </c>
      <c r="M32">
        <v>3</v>
      </c>
      <c r="N32">
        <v>4</v>
      </c>
    </row>
    <row r="33" spans="1:15" x14ac:dyDescent="0.3">
      <c r="A33">
        <v>23</v>
      </c>
      <c r="B33" t="s">
        <v>28</v>
      </c>
      <c r="C33" s="8">
        <v>1.12974614883922</v>
      </c>
      <c r="D33" s="8">
        <v>1.0603164817098201</v>
      </c>
      <c r="E33" s="8">
        <v>1.1472466960352401</v>
      </c>
      <c r="F33" s="8">
        <v>1.14853556485355</v>
      </c>
      <c r="G33">
        <f t="shared" si="0"/>
        <v>4.4858448914378304</v>
      </c>
      <c r="K33">
        <f>MIN(C42:F42)</f>
        <v>1.0270919854727505</v>
      </c>
      <c r="L33">
        <f>LARGE(C42:F42, 3)</f>
        <v>1.1289641442270422</v>
      </c>
      <c r="M33">
        <f>LARGE(C42:F42, 2)</f>
        <v>1.1446622221994127</v>
      </c>
      <c r="N33">
        <f>MAX(C42:F42)</f>
        <v>1.1468745278826562</v>
      </c>
    </row>
    <row r="34" spans="1:15" x14ac:dyDescent="0.3">
      <c r="A34">
        <v>24</v>
      </c>
      <c r="B34" t="s">
        <v>29</v>
      </c>
      <c r="C34" s="8">
        <v>1.1289202387411801</v>
      </c>
      <c r="D34" s="8">
        <v>1.0406686372439</v>
      </c>
      <c r="E34" s="8">
        <v>1.1494469026548599</v>
      </c>
      <c r="F34" s="8">
        <v>1.1371902299875201</v>
      </c>
      <c r="G34">
        <f t="shared" si="0"/>
        <v>4.4562260086274605</v>
      </c>
    </row>
    <row r="35" spans="1:15" x14ac:dyDescent="0.3">
      <c r="A35">
        <v>25</v>
      </c>
      <c r="B35" t="s">
        <v>30</v>
      </c>
      <c r="C35" s="8">
        <v>1.1340563610000001</v>
      </c>
      <c r="D35" s="8">
        <v>1.0342199156665499</v>
      </c>
      <c r="E35" s="8">
        <v>1.13919413919413</v>
      </c>
      <c r="F35" s="8">
        <v>1.14054537326776</v>
      </c>
      <c r="G35">
        <f t="shared" si="0"/>
        <v>4.4480157891284398</v>
      </c>
      <c r="K35" t="s">
        <v>63</v>
      </c>
    </row>
    <row r="36" spans="1:15" x14ac:dyDescent="0.3">
      <c r="A36">
        <v>26</v>
      </c>
      <c r="B36" t="s">
        <v>31</v>
      </c>
      <c r="C36" s="8">
        <v>1.1162933146657299</v>
      </c>
      <c r="D36" s="8">
        <v>1.03129042690815</v>
      </c>
      <c r="E36" s="8">
        <v>1.1394995531724701</v>
      </c>
      <c r="F36" s="8">
        <v>1.1400357462019599</v>
      </c>
      <c r="G36">
        <f>SUM(C36:F36)</f>
        <v>4.4271190409483099</v>
      </c>
      <c r="K36" t="s">
        <v>64</v>
      </c>
      <c r="L36" s="4" t="s">
        <v>69</v>
      </c>
      <c r="M36">
        <f>N33-M33</f>
        <v>2.2123056832434873E-3</v>
      </c>
      <c r="N36" t="b">
        <f>M36&gt;O36</f>
        <v>0</v>
      </c>
      <c r="O36">
        <f>L29</f>
        <v>3.2212984576937744E-3</v>
      </c>
    </row>
    <row r="37" spans="1:15" x14ac:dyDescent="0.3">
      <c r="A37">
        <v>27</v>
      </c>
      <c r="B37" t="s">
        <v>32</v>
      </c>
      <c r="F37" s="8"/>
      <c r="G37">
        <f t="shared" si="0"/>
        <v>0</v>
      </c>
      <c r="L37" s="5" t="s">
        <v>70</v>
      </c>
      <c r="M37">
        <f>M33-L33</f>
        <v>1.569807797237055E-2</v>
      </c>
      <c r="N37" t="b">
        <f t="shared" ref="N37:N41" si="4">M37&gt;O37</f>
        <v>1</v>
      </c>
      <c r="O37">
        <f>L29</f>
        <v>3.2212984576937744E-3</v>
      </c>
    </row>
    <row r="38" spans="1:15" x14ac:dyDescent="0.3">
      <c r="A38">
        <v>28</v>
      </c>
      <c r="B38" t="s">
        <v>33</v>
      </c>
      <c r="G38">
        <f t="shared" si="0"/>
        <v>0</v>
      </c>
      <c r="L38" s="5" t="s">
        <v>71</v>
      </c>
      <c r="M38">
        <f>L33-K33</f>
        <v>0.10187215875429168</v>
      </c>
      <c r="N38" t="b">
        <f t="shared" si="4"/>
        <v>1</v>
      </c>
      <c r="O38">
        <f>L29</f>
        <v>3.2212984576937744E-3</v>
      </c>
    </row>
    <row r="39" spans="1:15" x14ac:dyDescent="0.3">
      <c r="A39">
        <v>29</v>
      </c>
      <c r="B39" t="s">
        <v>34</v>
      </c>
      <c r="G39">
        <f t="shared" si="0"/>
        <v>0</v>
      </c>
      <c r="K39" t="s">
        <v>65</v>
      </c>
      <c r="L39" s="5" t="s">
        <v>68</v>
      </c>
      <c r="M39">
        <f>N33-L33</f>
        <v>1.7910383655614037E-2</v>
      </c>
      <c r="N39" t="b">
        <f t="shared" si="4"/>
        <v>1</v>
      </c>
      <c r="O39">
        <f>M29</f>
        <v>3.8523103850125768E-3</v>
      </c>
    </row>
    <row r="40" spans="1:15" x14ac:dyDescent="0.3">
      <c r="A40">
        <v>30</v>
      </c>
      <c r="B40" t="s">
        <v>35</v>
      </c>
      <c r="G40">
        <f t="shared" si="0"/>
        <v>0</v>
      </c>
      <c r="L40" s="5" t="s">
        <v>72</v>
      </c>
      <c r="M40">
        <f>M33-K33</f>
        <v>0.11757023672666223</v>
      </c>
      <c r="N40" t="b">
        <f t="shared" si="4"/>
        <v>1</v>
      </c>
      <c r="O40">
        <f>M29</f>
        <v>3.8523103850125768E-3</v>
      </c>
    </row>
    <row r="41" spans="1:15" x14ac:dyDescent="0.3">
      <c r="A41" t="s">
        <v>40</v>
      </c>
      <c r="C41">
        <f>SUM(C11:C39)</f>
        <v>29.353067749903094</v>
      </c>
      <c r="D41">
        <f>SUM(D11:D36)</f>
        <v>26.70439162229151</v>
      </c>
      <c r="E41">
        <f>SUM(E11:E36)</f>
        <v>29.818737724949063</v>
      </c>
      <c r="F41">
        <f>SUM(F11:F36)</f>
        <v>29.761217777184729</v>
      </c>
      <c r="K41" t="s">
        <v>66</v>
      </c>
      <c r="L41" s="5" t="s">
        <v>67</v>
      </c>
      <c r="M41">
        <f>N33-K33</f>
        <v>0.11978254240990571</v>
      </c>
      <c r="N41" t="b">
        <f t="shared" si="4"/>
        <v>1</v>
      </c>
      <c r="O41">
        <f>N29</f>
        <v>4.2253395354165096E-3</v>
      </c>
    </row>
    <row r="42" spans="1:15" x14ac:dyDescent="0.3">
      <c r="C42" s="8">
        <f>AVERAGE(C11:C39)</f>
        <v>1.1289641442270422</v>
      </c>
      <c r="D42" s="8">
        <f>AVERAGE(D11:D36)</f>
        <v>1.0270919854727505</v>
      </c>
      <c r="E42" s="8">
        <f>AVERAGE(E11:E36)</f>
        <v>1.1468745278826562</v>
      </c>
      <c r="F42" s="8">
        <f>AVERAGE(F11:F36)</f>
        <v>1.1446622221994127</v>
      </c>
      <c r="H42">
        <f>AVERAGE(C42:F42)</f>
        <v>1.1118982199454654</v>
      </c>
    </row>
    <row r="43" spans="1:15" x14ac:dyDescent="0.3">
      <c r="E43" s="6">
        <f>(E42-C42)/C42</f>
        <v>1.5864439758515609E-2</v>
      </c>
      <c r="F43" s="6">
        <f>(F41-C41)/C41</f>
        <v>1.3904850789675403E-2</v>
      </c>
    </row>
    <row r="44" spans="1:15" x14ac:dyDescent="0.3">
      <c r="E44" s="6">
        <f>(E42-D42)/D42</f>
        <v>0.11662299395197026</v>
      </c>
      <c r="F44" s="6">
        <f>(F42-D42)/D42</f>
        <v>0.11446904307460537</v>
      </c>
    </row>
    <row r="45" spans="1:15" x14ac:dyDescent="0.3">
      <c r="C45" t="s">
        <v>50</v>
      </c>
    </row>
    <row r="46" spans="1:15" x14ac:dyDescent="0.3">
      <c r="B46">
        <v>1</v>
      </c>
      <c r="C46">
        <f>(C11-$C$42)^2</f>
        <v>1.28535713673661E-5</v>
      </c>
      <c r="D46">
        <f>(D11-$D$42)^2</f>
        <v>8.9834371028055578E-3</v>
      </c>
      <c r="E46">
        <f>(E11-$E$42)^2</f>
        <v>4.6218039307839273E-6</v>
      </c>
      <c r="F46">
        <f>(F11-$F$42)^2</f>
        <v>1.2133998808506513E-5</v>
      </c>
    </row>
    <row r="47" spans="1:15" x14ac:dyDescent="0.3">
      <c r="B47">
        <v>2</v>
      </c>
      <c r="C47">
        <f t="shared" ref="C47:C71" si="5">(C12-$C$42)^2</f>
        <v>5.0726404235177682E-5</v>
      </c>
      <c r="D47">
        <f t="shared" ref="D47:D71" si="6">(D12-$D$42)^2</f>
        <v>8.9976890118859782E-4</v>
      </c>
      <c r="E47">
        <f t="shared" ref="E47:E71" si="7">(E12-$E$42)^2</f>
        <v>7.4582236229967345E-6</v>
      </c>
      <c r="F47">
        <f t="shared" ref="F47:F71" si="8">(F12-$F$42)^2</f>
        <v>7.0857894465700909E-7</v>
      </c>
    </row>
    <row r="48" spans="1:15" x14ac:dyDescent="0.3">
      <c r="B48">
        <v>3</v>
      </c>
      <c r="C48">
        <f t="shared" si="5"/>
        <v>2.0150024939166328E-5</v>
      </c>
      <c r="D48">
        <f t="shared" si="6"/>
        <v>6.3614962736276062E-3</v>
      </c>
      <c r="E48">
        <f t="shared" si="7"/>
        <v>2.764393450243161E-7</v>
      </c>
      <c r="F48">
        <f t="shared" si="8"/>
        <v>2.0373912693475565E-5</v>
      </c>
    </row>
    <row r="49" spans="2:6" x14ac:dyDescent="0.3">
      <c r="B49">
        <v>4</v>
      </c>
      <c r="C49">
        <f t="shared" si="5"/>
        <v>1.7836919813114767E-5</v>
      </c>
      <c r="D49">
        <f t="shared" si="6"/>
        <v>2.867055402828634E-3</v>
      </c>
      <c r="E49">
        <f t="shared" si="7"/>
        <v>7.9609236609470406E-6</v>
      </c>
      <c r="F49">
        <f t="shared" si="8"/>
        <v>5.6923695027597016E-5</v>
      </c>
    </row>
    <row r="50" spans="2:6" x14ac:dyDescent="0.3">
      <c r="B50">
        <v>5</v>
      </c>
      <c r="C50">
        <f t="shared" si="5"/>
        <v>3.3516390272669916E-6</v>
      </c>
      <c r="D50">
        <f t="shared" si="6"/>
        <v>7.7372283454129362E-4</v>
      </c>
      <c r="E50">
        <f t="shared" si="7"/>
        <v>3.2811697319362966E-5</v>
      </c>
      <c r="F50">
        <f t="shared" si="8"/>
        <v>1.6067966071481954E-5</v>
      </c>
    </row>
    <row r="51" spans="2:6" x14ac:dyDescent="0.3">
      <c r="B51">
        <v>6</v>
      </c>
      <c r="C51">
        <f t="shared" si="5"/>
        <v>4.2148295942520561E-6</v>
      </c>
      <c r="D51">
        <f t="shared" si="6"/>
        <v>8.4695066265215511E-4</v>
      </c>
      <c r="E51">
        <f t="shared" si="7"/>
        <v>2.3773571496479753E-7</v>
      </c>
      <c r="F51">
        <f t="shared" si="8"/>
        <v>8.2668962914775749E-5</v>
      </c>
    </row>
    <row r="52" spans="2:6" x14ac:dyDescent="0.3">
      <c r="B52">
        <v>7</v>
      </c>
      <c r="C52">
        <f t="shared" si="5"/>
        <v>5.2023456352252679E-5</v>
      </c>
      <c r="D52">
        <f t="shared" si="6"/>
        <v>1.7225054542032022E-4</v>
      </c>
      <c r="E52">
        <f t="shared" si="7"/>
        <v>1.3183802603617664E-4</v>
      </c>
      <c r="F52">
        <f t="shared" si="8"/>
        <v>2.1372144506215209E-4</v>
      </c>
    </row>
    <row r="53" spans="2:6" x14ac:dyDescent="0.3">
      <c r="B53">
        <v>8</v>
      </c>
      <c r="C53">
        <f t="shared" si="5"/>
        <v>3.9662022229578686E-5</v>
      </c>
      <c r="D53">
        <f t="shared" si="6"/>
        <v>6.0171422854221465E-3</v>
      </c>
      <c r="E53">
        <f t="shared" si="7"/>
        <v>1.8401010826986244E-4</v>
      </c>
      <c r="F53">
        <f t="shared" si="8"/>
        <v>5.7827173344534867E-5</v>
      </c>
    </row>
    <row r="54" spans="2:6" x14ac:dyDescent="0.3">
      <c r="B54">
        <v>9</v>
      </c>
      <c r="C54">
        <f t="shared" si="5"/>
        <v>1.8525693930236098E-5</v>
      </c>
      <c r="D54">
        <f t="shared" si="6"/>
        <v>7.1200858053119369E-3</v>
      </c>
      <c r="E54">
        <f t="shared" si="7"/>
        <v>1.2658714427830529E-4</v>
      </c>
      <c r="F54">
        <f t="shared" si="8"/>
        <v>4.9573751448394972E-5</v>
      </c>
    </row>
    <row r="55" spans="2:6" x14ac:dyDescent="0.3">
      <c r="B55">
        <v>10</v>
      </c>
      <c r="C55">
        <f t="shared" si="5"/>
        <v>3.6365878212252508E-5</v>
      </c>
      <c r="D55">
        <f t="shared" si="6"/>
        <v>1.465207008596615E-3</v>
      </c>
      <c r="E55">
        <f t="shared" si="7"/>
        <v>1.9054062064782209E-5</v>
      </c>
      <c r="F55">
        <f t="shared" si="8"/>
        <v>5.3781391434540467E-5</v>
      </c>
    </row>
    <row r="56" spans="2:6" x14ac:dyDescent="0.3">
      <c r="B56">
        <v>11</v>
      </c>
      <c r="C56">
        <f t="shared" si="5"/>
        <v>8.1473431835808497E-5</v>
      </c>
      <c r="D56">
        <f t="shared" si="6"/>
        <v>5.1801116682849277E-3</v>
      </c>
      <c r="E56">
        <f t="shared" si="7"/>
        <v>6.0003683597105993E-5</v>
      </c>
      <c r="F56">
        <f t="shared" si="8"/>
        <v>5.3225602278758285E-5</v>
      </c>
    </row>
    <row r="57" spans="2:6" x14ac:dyDescent="0.3">
      <c r="B57">
        <v>12</v>
      </c>
      <c r="C57">
        <f t="shared" si="5"/>
        <v>5.0794006464438275E-7</v>
      </c>
      <c r="D57">
        <f t="shared" si="6"/>
        <v>3.1904635964296402E-3</v>
      </c>
      <c r="E57">
        <f t="shared" si="7"/>
        <v>1.2368446672919153E-4</v>
      </c>
      <c r="F57">
        <f t="shared" si="8"/>
        <v>1.0087573837320267E-6</v>
      </c>
    </row>
    <row r="58" spans="2:6" x14ac:dyDescent="0.3">
      <c r="B58">
        <v>13</v>
      </c>
      <c r="C58">
        <f t="shared" si="5"/>
        <v>6.887080513960114E-6</v>
      </c>
      <c r="D58">
        <f t="shared" si="6"/>
        <v>2.9498111733548497E-3</v>
      </c>
      <c r="E58">
        <f t="shared" si="7"/>
        <v>5.8606877496516761E-5</v>
      </c>
      <c r="F58">
        <f t="shared" si="8"/>
        <v>9.6479366127959299E-5</v>
      </c>
    </row>
    <row r="59" spans="2:6" x14ac:dyDescent="0.3">
      <c r="B59">
        <v>14</v>
      </c>
      <c r="C59">
        <f t="shared" si="5"/>
        <v>5.030218299262909E-6</v>
      </c>
      <c r="D59">
        <f t="shared" si="6"/>
        <v>2.397691020201677E-5</v>
      </c>
      <c r="E59">
        <f t="shared" si="7"/>
        <v>1.0296678718851346E-4</v>
      </c>
      <c r="F59">
        <f t="shared" si="8"/>
        <v>1.7084052006405236E-5</v>
      </c>
    </row>
    <row r="60" spans="2:6" x14ac:dyDescent="0.3">
      <c r="B60">
        <v>15</v>
      </c>
      <c r="C60">
        <f t="shared" si="5"/>
        <v>7.3443052084451509E-6</v>
      </c>
      <c r="D60">
        <f t="shared" si="6"/>
        <v>1.4549369304473796E-2</v>
      </c>
      <c r="E60">
        <f t="shared" si="7"/>
        <v>4.0712958424569193E-5</v>
      </c>
      <c r="F60">
        <f t="shared" si="8"/>
        <v>3.467895630012035E-6</v>
      </c>
    </row>
    <row r="61" spans="2:6" x14ac:dyDescent="0.3">
      <c r="B61">
        <v>16</v>
      </c>
      <c r="C61">
        <f t="shared" si="5"/>
        <v>2.8588949850314042E-5</v>
      </c>
      <c r="D61">
        <f t="shared" si="6"/>
        <v>4.807323244853617E-3</v>
      </c>
      <c r="E61">
        <f t="shared" si="7"/>
        <v>1.0053992408957519E-5</v>
      </c>
      <c r="F61">
        <f t="shared" si="8"/>
        <v>1.0005892935476927E-4</v>
      </c>
    </row>
    <row r="62" spans="2:6" x14ac:dyDescent="0.3">
      <c r="B62">
        <v>17</v>
      </c>
      <c r="C62">
        <f t="shared" si="5"/>
        <v>8.6875667113721629E-5</v>
      </c>
      <c r="D62">
        <f t="shared" si="6"/>
        <v>4.3358241027635468E-4</v>
      </c>
      <c r="E62">
        <f t="shared" si="7"/>
        <v>2.3439831163401678E-5</v>
      </c>
      <c r="F62">
        <f t="shared" si="8"/>
        <v>1.2649475671152967E-4</v>
      </c>
    </row>
    <row r="63" spans="2:6" x14ac:dyDescent="0.3">
      <c r="B63">
        <v>18</v>
      </c>
      <c r="C63">
        <f t="shared" si="5"/>
        <v>2.117982697842918E-4</v>
      </c>
      <c r="D63">
        <f t="shared" si="6"/>
        <v>2.4690657621125231E-5</v>
      </c>
      <c r="E63">
        <f t="shared" si="7"/>
        <v>8.8111716110343127E-5</v>
      </c>
      <c r="F63">
        <f t="shared" si="8"/>
        <v>6.1496938860075128E-5</v>
      </c>
    </row>
    <row r="64" spans="2:6" x14ac:dyDescent="0.3">
      <c r="B64">
        <v>19</v>
      </c>
      <c r="C64">
        <f t="shared" si="5"/>
        <v>9.8365610203984998E-6</v>
      </c>
      <c r="D64">
        <f t="shared" si="6"/>
        <v>1.173590542256254E-3</v>
      </c>
      <c r="E64">
        <f t="shared" si="7"/>
        <v>1.51008660603335E-4</v>
      </c>
      <c r="F64">
        <f t="shared" si="8"/>
        <v>1.5055325853217985E-5</v>
      </c>
    </row>
    <row r="65" spans="2:6" x14ac:dyDescent="0.3">
      <c r="B65">
        <v>20</v>
      </c>
      <c r="C65">
        <f t="shared" si="5"/>
        <v>9.8365637205906222E-6</v>
      </c>
      <c r="D65">
        <f t="shared" si="6"/>
        <v>3.2615252876775943E-3</v>
      </c>
      <c r="E65">
        <f t="shared" si="7"/>
        <v>5.8545062577562601E-5</v>
      </c>
      <c r="F65">
        <f t="shared" si="8"/>
        <v>7.1726773047006519E-5</v>
      </c>
    </row>
    <row r="66" spans="2:6" x14ac:dyDescent="0.3">
      <c r="B66">
        <v>21</v>
      </c>
      <c r="C66">
        <f t="shared" si="5"/>
        <v>1.2879686053246734E-4</v>
      </c>
      <c r="D66">
        <f t="shared" si="6"/>
        <v>7.3564814467957408E-4</v>
      </c>
      <c r="E66">
        <f t="shared" si="7"/>
        <v>9.8236895195708088E-5</v>
      </c>
      <c r="F66">
        <f t="shared" si="8"/>
        <v>1.0028286405300666E-5</v>
      </c>
    </row>
    <row r="67" spans="2:6" x14ac:dyDescent="0.3">
      <c r="B67">
        <v>22</v>
      </c>
      <c r="C67">
        <f t="shared" si="5"/>
        <v>5.6678911113008466E-5</v>
      </c>
      <c r="D67">
        <f t="shared" si="6"/>
        <v>1.7748126668794018E-4</v>
      </c>
      <c r="E67">
        <f t="shared" si="7"/>
        <v>2.6166649676878267E-6</v>
      </c>
      <c r="F67">
        <f t="shared" si="8"/>
        <v>7.3165693880228588E-6</v>
      </c>
    </row>
    <row r="68" spans="2:6" x14ac:dyDescent="0.3">
      <c r="B68">
        <v>23</v>
      </c>
      <c r="C68">
        <f t="shared" si="5"/>
        <v>6.1153121346736899E-7</v>
      </c>
      <c r="D68">
        <f t="shared" si="6"/>
        <v>1.1038671502070505E-3</v>
      </c>
      <c r="E68">
        <f t="shared" si="7"/>
        <v>1.3850913379771011E-7</v>
      </c>
      <c r="F68">
        <f t="shared" si="8"/>
        <v>1.5002783316359398E-5</v>
      </c>
    </row>
    <row r="69" spans="2:6" x14ac:dyDescent="0.3">
      <c r="B69">
        <v>24</v>
      </c>
      <c r="C69">
        <f t="shared" si="5"/>
        <v>1.9276916887856172E-9</v>
      </c>
      <c r="D69">
        <f t="shared" si="6"/>
        <v>1.8432547331505763E-4</v>
      </c>
      <c r="E69">
        <f t="shared" si="7"/>
        <v>6.6171119686702114E-6</v>
      </c>
      <c r="F69">
        <f t="shared" si="8"/>
        <v>5.5830667614584457E-5</v>
      </c>
    </row>
    <row r="70" spans="2:6" x14ac:dyDescent="0.3">
      <c r="B70">
        <v>25</v>
      </c>
      <c r="C70">
        <f t="shared" si="5"/>
        <v>2.5930671662793797E-5</v>
      </c>
      <c r="D70">
        <f t="shared" si="6"/>
        <v>5.0807388847677517E-5</v>
      </c>
      <c r="E70">
        <f t="shared" si="7"/>
        <v>5.8988370406840635E-5</v>
      </c>
      <c r="F70">
        <f t="shared" si="8"/>
        <v>1.6948445126050481E-5</v>
      </c>
    </row>
    <row r="71" spans="2:6" x14ac:dyDescent="0.3">
      <c r="B71">
        <v>26</v>
      </c>
      <c r="C71">
        <f t="shared" si="5"/>
        <v>1.6054992177182487E-4</v>
      </c>
      <c r="D71">
        <f t="shared" si="6"/>
        <v>1.7626910486479343E-5</v>
      </c>
      <c r="E71">
        <f t="shared" si="7"/>
        <v>5.439025197588471E-5</v>
      </c>
      <c r="F71">
        <f t="shared" si="8"/>
        <v>2.1404280155006934E-5</v>
      </c>
    </row>
    <row r="72" spans="2:6" x14ac:dyDescent="0.3">
      <c r="B72">
        <v>27</v>
      </c>
    </row>
    <row r="73" spans="2:6" x14ac:dyDescent="0.3">
      <c r="B73">
        <v>28</v>
      </c>
    </row>
    <row r="74" spans="2:6" x14ac:dyDescent="0.3">
      <c r="B74">
        <v>29</v>
      </c>
    </row>
    <row r="75" spans="2:6" x14ac:dyDescent="0.3">
      <c r="B75">
        <v>30</v>
      </c>
    </row>
  </sheetData>
  <mergeCells count="1">
    <mergeCell ref="A9:G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2E98-D813-4A2C-80EE-08E2A6D95022}">
  <dimension ref="A1:O75"/>
  <sheetViews>
    <sheetView topLeftCell="A13" zoomScale="85" zoomScaleNormal="85" workbookViewId="0">
      <selection activeCell="L62" sqref="L62"/>
    </sheetView>
  </sheetViews>
  <sheetFormatPr defaultRowHeight="14.4" x14ac:dyDescent="0.3"/>
  <cols>
    <col min="1" max="1" width="8" bestFit="1" customWidth="1"/>
    <col min="2" max="2" width="9" bestFit="1" customWidth="1"/>
    <col min="3" max="6" width="16.88671875" customWidth="1"/>
    <col min="12" max="12" width="14.44140625" bestFit="1" customWidth="1"/>
    <col min="14" max="14" width="14.6640625" bestFit="1" customWidth="1"/>
  </cols>
  <sheetData>
    <row r="1" spans="1:15" x14ac:dyDescent="0.3">
      <c r="A1" t="s">
        <v>36</v>
      </c>
      <c r="B1">
        <f>ROWS(B11:B40)</f>
        <v>30</v>
      </c>
    </row>
    <row r="2" spans="1:15" x14ac:dyDescent="0.3">
      <c r="A2" t="s">
        <v>37</v>
      </c>
      <c r="B2">
        <f>COLUMNS(C10:F10)</f>
        <v>4</v>
      </c>
    </row>
    <row r="3" spans="1:15" x14ac:dyDescent="0.3">
      <c r="A3" t="s">
        <v>38</v>
      </c>
      <c r="B3">
        <f>B2*B1</f>
        <v>120</v>
      </c>
    </row>
    <row r="4" spans="1:15" x14ac:dyDescent="0.3">
      <c r="A4" t="s">
        <v>39</v>
      </c>
      <c r="B4">
        <f>SUM(C11:F40)</f>
        <v>9473963428.5001049</v>
      </c>
    </row>
    <row r="5" spans="1:15" x14ac:dyDescent="0.3">
      <c r="A5" t="s">
        <v>42</v>
      </c>
      <c r="B5">
        <f>(B4^2)/B1</f>
        <v>2.9918661014852485E+18</v>
      </c>
    </row>
    <row r="6" spans="1:15" x14ac:dyDescent="0.3">
      <c r="A6" t="s">
        <v>52</v>
      </c>
      <c r="B6" t="s">
        <v>55</v>
      </c>
    </row>
    <row r="7" spans="1:15" x14ac:dyDescent="0.3">
      <c r="A7" t="s">
        <v>53</v>
      </c>
      <c r="B7" t="s">
        <v>54</v>
      </c>
    </row>
    <row r="9" spans="1:15" x14ac:dyDescent="0.3">
      <c r="A9" s="7" t="s">
        <v>75</v>
      </c>
      <c r="B9" s="7"/>
      <c r="C9" s="7"/>
      <c r="D9" s="7"/>
      <c r="E9" s="7"/>
      <c r="F9" s="7"/>
      <c r="G9" s="7"/>
    </row>
    <row r="10" spans="1:15" ht="42.6" customHeight="1" x14ac:dyDescent="0.3">
      <c r="A10" s="1" t="s">
        <v>17</v>
      </c>
      <c r="B10" s="1" t="s">
        <v>4</v>
      </c>
      <c r="C10" s="1" t="s">
        <v>0</v>
      </c>
      <c r="D10" s="1" t="s">
        <v>3</v>
      </c>
      <c r="E10" s="1" t="s">
        <v>1</v>
      </c>
      <c r="F10" s="1" t="s">
        <v>2</v>
      </c>
      <c r="G10" s="1" t="s">
        <v>41</v>
      </c>
    </row>
    <row r="11" spans="1:15" x14ac:dyDescent="0.3">
      <c r="A11">
        <v>1</v>
      </c>
      <c r="B11" t="s">
        <v>5</v>
      </c>
      <c r="C11">
        <v>92760005.909999996</v>
      </c>
      <c r="D11">
        <v>116904433.5</v>
      </c>
      <c r="E11">
        <v>89392235.319999993</v>
      </c>
      <c r="F11">
        <v>90868578.624351695</v>
      </c>
      <c r="G11">
        <f>SUM(C11:F11)</f>
        <v>389925253.3543517</v>
      </c>
    </row>
    <row r="12" spans="1:15" x14ac:dyDescent="0.3">
      <c r="A12">
        <v>2</v>
      </c>
      <c r="B12" t="s">
        <v>6</v>
      </c>
      <c r="C12">
        <v>91310789.712301299</v>
      </c>
      <c r="D12">
        <v>108413860.488038</v>
      </c>
      <c r="E12">
        <v>89596930.365030393</v>
      </c>
      <c r="F12">
        <v>91153594.184513599</v>
      </c>
      <c r="G12">
        <f t="shared" ref="G12:G40" si="0">SUM(C12:F12)</f>
        <v>380475174.74988329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</row>
    <row r="13" spans="1:15" x14ac:dyDescent="0.3">
      <c r="A13">
        <v>3</v>
      </c>
      <c r="B13" t="s">
        <v>7</v>
      </c>
      <c r="C13">
        <v>92905184.066612899</v>
      </c>
      <c r="D13">
        <v>114433238.99310599</v>
      </c>
      <c r="E13">
        <v>89983241.973328203</v>
      </c>
      <c r="F13">
        <v>89686938.688942194</v>
      </c>
      <c r="G13">
        <f t="shared" si="0"/>
        <v>387008603.72198927</v>
      </c>
      <c r="K13" t="s">
        <v>48</v>
      </c>
      <c r="L13">
        <f>B1*((C42-H42)^2+(D42-H42)^2+(E42-H42)^2+(F42-H42)^2)</f>
        <v>4467391400573166.5</v>
      </c>
      <c r="M13">
        <f>B2-1</f>
        <v>3</v>
      </c>
      <c r="N13">
        <f>L13/M13</f>
        <v>1489130466857722.3</v>
      </c>
      <c r="O13">
        <f>N13/N14</f>
        <v>51.123470796332015</v>
      </c>
    </row>
    <row r="14" spans="1:15" x14ac:dyDescent="0.3">
      <c r="A14">
        <v>4</v>
      </c>
      <c r="B14" t="s">
        <v>8</v>
      </c>
      <c r="C14">
        <v>79526073.370000005</v>
      </c>
      <c r="D14">
        <v>95499699.010000005</v>
      </c>
      <c r="E14">
        <v>77424967.810000002</v>
      </c>
      <c r="F14">
        <v>78150358.880317107</v>
      </c>
      <c r="G14">
        <f>SUM(C14:F14)</f>
        <v>330601099.07031709</v>
      </c>
      <c r="K14" t="s">
        <v>49</v>
      </c>
      <c r="L14">
        <f>SUM(C46:F71)</f>
        <v>1.3864983953224324E+16</v>
      </c>
      <c r="M14">
        <f>B2*(B3-1)</f>
        <v>476</v>
      </c>
      <c r="N14">
        <f t="shared" ref="N14:N15" si="1">L14/M14</f>
        <v>29128117548790.598</v>
      </c>
    </row>
    <row r="15" spans="1:15" x14ac:dyDescent="0.3">
      <c r="A15">
        <v>5</v>
      </c>
      <c r="B15" t="s">
        <v>9</v>
      </c>
      <c r="C15">
        <v>79255636.566808194</v>
      </c>
      <c r="D15">
        <v>92928939.631957799</v>
      </c>
      <c r="E15">
        <v>77532396.399429694</v>
      </c>
      <c r="F15">
        <v>76358137.878849506</v>
      </c>
      <c r="G15">
        <f t="shared" si="0"/>
        <v>326075110.47704518</v>
      </c>
      <c r="K15" t="s">
        <v>39</v>
      </c>
      <c r="L15">
        <f>SUM(L13:L14)</f>
        <v>1.8332375353797492E+16</v>
      </c>
      <c r="M15">
        <f>SUM(M13:M14)</f>
        <v>479</v>
      </c>
      <c r="N15">
        <f t="shared" si="1"/>
        <v>38272182367009.375</v>
      </c>
    </row>
    <row r="16" spans="1:15" x14ac:dyDescent="0.3">
      <c r="A16">
        <v>6</v>
      </c>
      <c r="B16" t="s">
        <v>10</v>
      </c>
      <c r="C16">
        <v>79401659.792408198</v>
      </c>
      <c r="D16">
        <v>87695022.193139002</v>
      </c>
      <c r="E16">
        <v>77381678.503268406</v>
      </c>
      <c r="F16">
        <v>92765645.871805802</v>
      </c>
      <c r="G16">
        <f t="shared" si="0"/>
        <v>337244006.36062139</v>
      </c>
      <c r="L16">
        <f>N14</f>
        <v>29128117548790.598</v>
      </c>
    </row>
    <row r="17" spans="1:14" x14ac:dyDescent="0.3">
      <c r="A17">
        <v>7</v>
      </c>
      <c r="B17" t="s">
        <v>11</v>
      </c>
      <c r="C17">
        <v>94935862.569999993</v>
      </c>
      <c r="D17">
        <v>107506824.40000001</v>
      </c>
      <c r="E17">
        <v>90557102.469999999</v>
      </c>
      <c r="F17">
        <v>92499410.906181604</v>
      </c>
      <c r="G17">
        <f t="shared" si="0"/>
        <v>385499200.34618163</v>
      </c>
      <c r="L17">
        <f>M14</f>
        <v>476</v>
      </c>
    </row>
    <row r="18" spans="1:14" x14ac:dyDescent="0.3">
      <c r="A18">
        <v>8</v>
      </c>
      <c r="B18" t="s">
        <v>12</v>
      </c>
      <c r="C18">
        <v>93068631.605878398</v>
      </c>
      <c r="D18">
        <v>98526798.674263403</v>
      </c>
      <c r="E18">
        <v>91083303.078506693</v>
      </c>
      <c r="F18">
        <v>91118482.823837698</v>
      </c>
      <c r="G18">
        <f t="shared" si="0"/>
        <v>373797216.18248618</v>
      </c>
    </row>
    <row r="19" spans="1:14" x14ac:dyDescent="0.3">
      <c r="A19">
        <v>9</v>
      </c>
      <c r="B19" t="s">
        <v>13</v>
      </c>
      <c r="C19">
        <v>94270317.214546502</v>
      </c>
      <c r="D19">
        <v>99895150.035033107</v>
      </c>
      <c r="E19">
        <v>91696140.523957297</v>
      </c>
      <c r="F19">
        <v>75765313.384572998</v>
      </c>
      <c r="G19">
        <f t="shared" si="0"/>
        <v>361626921.1581099</v>
      </c>
      <c r="K19" t="s">
        <v>51</v>
      </c>
      <c r="L19">
        <f>_xlfn.F.INV.RT(0.05, M13,M14)</f>
        <v>2.6236374659507562</v>
      </c>
    </row>
    <row r="20" spans="1:14" x14ac:dyDescent="0.3">
      <c r="A20">
        <v>10</v>
      </c>
      <c r="B20" t="s">
        <v>15</v>
      </c>
      <c r="C20">
        <v>75648000.329999998</v>
      </c>
      <c r="D20">
        <v>82711844.730000004</v>
      </c>
      <c r="E20">
        <v>74217502.590000004</v>
      </c>
      <c r="F20">
        <v>73084889.930291995</v>
      </c>
      <c r="G20">
        <f>SUM(C20:F20)</f>
        <v>305662237.58029199</v>
      </c>
      <c r="K20" t="s">
        <v>56</v>
      </c>
    </row>
    <row r="21" spans="1:14" x14ac:dyDescent="0.3">
      <c r="A21">
        <v>11</v>
      </c>
      <c r="B21" t="s">
        <v>16</v>
      </c>
      <c r="C21">
        <v>76863196.475332603</v>
      </c>
      <c r="D21">
        <v>79752256.744927198</v>
      </c>
      <c r="E21">
        <v>74373683.938224703</v>
      </c>
      <c r="F21">
        <v>74430918.483355999</v>
      </c>
      <c r="G21">
        <f t="shared" si="0"/>
        <v>305420055.64184046</v>
      </c>
      <c r="K21" t="s">
        <v>57</v>
      </c>
    </row>
    <row r="22" spans="1:14" x14ac:dyDescent="0.3">
      <c r="A22">
        <v>12</v>
      </c>
      <c r="B22" t="s">
        <v>14</v>
      </c>
      <c r="C22">
        <v>76122527.092626706</v>
      </c>
      <c r="D22">
        <v>82114367.538892999</v>
      </c>
      <c r="E22">
        <v>75131597.907609597</v>
      </c>
      <c r="F22">
        <v>75291653.683804899</v>
      </c>
      <c r="G22">
        <f t="shared" si="0"/>
        <v>308660146.22293425</v>
      </c>
    </row>
    <row r="23" spans="1:14" x14ac:dyDescent="0.3">
      <c r="A23">
        <v>13</v>
      </c>
      <c r="B23" t="s">
        <v>18</v>
      </c>
      <c r="C23">
        <v>75612136.409999996</v>
      </c>
      <c r="D23">
        <v>90014253.844040006</v>
      </c>
      <c r="E23">
        <v>73908151.909999996</v>
      </c>
      <c r="F23">
        <v>71912717.160194993</v>
      </c>
      <c r="G23">
        <f t="shared" si="0"/>
        <v>311447259.32423496</v>
      </c>
    </row>
    <row r="24" spans="1:14" x14ac:dyDescent="0.3">
      <c r="A24">
        <v>14</v>
      </c>
      <c r="B24" t="s">
        <v>19</v>
      </c>
      <c r="C24">
        <v>75506014.403432205</v>
      </c>
      <c r="D24">
        <v>86865002.505907893</v>
      </c>
      <c r="E24">
        <v>74422803.747969598</v>
      </c>
      <c r="F24">
        <v>101310934.47081099</v>
      </c>
      <c r="G24">
        <f t="shared" si="0"/>
        <v>338104755.12812066</v>
      </c>
    </row>
    <row r="25" spans="1:14" x14ac:dyDescent="0.3">
      <c r="A25">
        <v>15</v>
      </c>
      <c r="B25" t="s">
        <v>20</v>
      </c>
      <c r="C25">
        <v>103694825.68861701</v>
      </c>
      <c r="D25">
        <v>135728707.30000001</v>
      </c>
      <c r="E25">
        <v>74974084.763346896</v>
      </c>
      <c r="F25">
        <v>99175420.931281403</v>
      </c>
      <c r="G25">
        <f t="shared" ref="G25:G30" si="2">SUM(C25:F25)</f>
        <v>413573038.6832453</v>
      </c>
      <c r="K25" t="s">
        <v>58</v>
      </c>
    </row>
    <row r="26" spans="1:14" x14ac:dyDescent="0.3">
      <c r="A26">
        <v>16</v>
      </c>
      <c r="B26" t="s">
        <v>22</v>
      </c>
      <c r="C26">
        <v>103625772.83852801</v>
      </c>
      <c r="D26">
        <v>127150685.400167</v>
      </c>
      <c r="E26">
        <v>100559634.40000001</v>
      </c>
      <c r="F26">
        <v>83871845.3720586</v>
      </c>
      <c r="G26">
        <f t="shared" si="2"/>
        <v>415207938.01075363</v>
      </c>
      <c r="K26" t="s">
        <v>59</v>
      </c>
    </row>
    <row r="27" spans="1:14" x14ac:dyDescent="0.3">
      <c r="A27">
        <v>17</v>
      </c>
      <c r="B27" t="s">
        <v>23</v>
      </c>
      <c r="C27">
        <v>85202337.414127499</v>
      </c>
      <c r="D27">
        <v>121585904.436601</v>
      </c>
      <c r="E27">
        <v>100458412.995892</v>
      </c>
      <c r="F27">
        <v>73210661.793940693</v>
      </c>
      <c r="G27">
        <f t="shared" si="2"/>
        <v>380457316.64056122</v>
      </c>
      <c r="K27" t="s">
        <v>60</v>
      </c>
      <c r="L27">
        <v>2</v>
      </c>
      <c r="M27">
        <v>3</v>
      </c>
      <c r="N27">
        <v>4</v>
      </c>
    </row>
    <row r="28" spans="1:14" x14ac:dyDescent="0.3">
      <c r="A28">
        <v>18</v>
      </c>
      <c r="B28" t="s">
        <v>21</v>
      </c>
      <c r="C28">
        <v>87314964.118497893</v>
      </c>
      <c r="D28">
        <v>96211704.659999996</v>
      </c>
      <c r="E28">
        <v>83036195.296122402</v>
      </c>
      <c r="F28">
        <v>81953590.098244697</v>
      </c>
      <c r="G28">
        <f t="shared" si="2"/>
        <v>348516454.17286497</v>
      </c>
      <c r="K28" t="s">
        <v>61</v>
      </c>
      <c r="L28" s="3">
        <v>2.7719999999999998</v>
      </c>
      <c r="M28">
        <v>3.3149999999999999</v>
      </c>
      <c r="N28">
        <v>3.6360000000000001</v>
      </c>
    </row>
    <row r="29" spans="1:14" x14ac:dyDescent="0.3">
      <c r="A29">
        <v>19</v>
      </c>
      <c r="B29" t="s">
        <v>24</v>
      </c>
      <c r="C29">
        <v>101727573.09999999</v>
      </c>
      <c r="D29">
        <v>92812006.862487897</v>
      </c>
      <c r="E29">
        <v>97560192.019999996</v>
      </c>
      <c r="F29">
        <v>99667360.882982403</v>
      </c>
      <c r="G29">
        <f t="shared" si="2"/>
        <v>391767132.86547029</v>
      </c>
      <c r="K29" t="s">
        <v>62</v>
      </c>
      <c r="L29">
        <f>L28*SQRT($L$16/$B$3)</f>
        <v>1365711.0150486515</v>
      </c>
      <c r="M29">
        <f t="shared" ref="M29:N29" si="3">M28*SQRT($L$16/$B$3)</f>
        <v>1633236.657606883</v>
      </c>
      <c r="N29">
        <f t="shared" si="3"/>
        <v>1791387.1755832962</v>
      </c>
    </row>
    <row r="30" spans="1:14" x14ac:dyDescent="0.3">
      <c r="A30">
        <v>20</v>
      </c>
      <c r="B30" t="s">
        <v>25</v>
      </c>
      <c r="C30">
        <v>101396922.731777</v>
      </c>
      <c r="D30">
        <v>91846538.014571995</v>
      </c>
      <c r="E30">
        <v>97985813.242752105</v>
      </c>
      <c r="F30">
        <v>97065214.927595302</v>
      </c>
      <c r="G30">
        <f t="shared" si="2"/>
        <v>388294488.91669637</v>
      </c>
    </row>
    <row r="31" spans="1:14" x14ac:dyDescent="0.3">
      <c r="A31">
        <v>21</v>
      </c>
      <c r="B31" t="s">
        <v>26</v>
      </c>
      <c r="C31">
        <v>102501094.403374</v>
      </c>
      <c r="D31">
        <v>113319244.3345</v>
      </c>
      <c r="E31">
        <v>98700523.433823705</v>
      </c>
      <c r="F31">
        <v>82647667.437678099</v>
      </c>
      <c r="G31">
        <f t="shared" si="0"/>
        <v>397168529.60937583</v>
      </c>
      <c r="K31" t="s">
        <v>73</v>
      </c>
    </row>
    <row r="32" spans="1:14" x14ac:dyDescent="0.3">
      <c r="A32">
        <v>22</v>
      </c>
      <c r="B32" t="s">
        <v>27</v>
      </c>
      <c r="C32">
        <v>84546887.629999995</v>
      </c>
      <c r="D32">
        <v>96038786.359999999</v>
      </c>
      <c r="E32">
        <v>82948133.180000007</v>
      </c>
      <c r="F32">
        <v>75940673.087059602</v>
      </c>
      <c r="G32">
        <f>SUM(C32:F32)</f>
        <v>339474480.25705963</v>
      </c>
      <c r="K32">
        <v>1</v>
      </c>
      <c r="L32">
        <v>2</v>
      </c>
      <c r="M32">
        <v>3</v>
      </c>
      <c r="N32">
        <v>4</v>
      </c>
    </row>
    <row r="33" spans="1:15" x14ac:dyDescent="0.3">
      <c r="A33">
        <v>23</v>
      </c>
      <c r="B33" t="s">
        <v>28</v>
      </c>
      <c r="C33">
        <v>83837256.604838997</v>
      </c>
      <c r="D33">
        <v>91436421.490054905</v>
      </c>
      <c r="E33">
        <v>83098263.190767899</v>
      </c>
      <c r="F33">
        <v>81068080.937021002</v>
      </c>
      <c r="G33">
        <f t="shared" si="0"/>
        <v>339440022.22268283</v>
      </c>
      <c r="K33">
        <f>MIN(C42:F42)</f>
        <v>86668915.073876694</v>
      </c>
      <c r="L33">
        <f>LARGE(C42:F42, 3)</f>
        <v>86801638.608779326</v>
      </c>
      <c r="M33">
        <f>LARGE(C42:F42, 2)</f>
        <v>89421117.804953992</v>
      </c>
      <c r="N33">
        <f>MAX(C42:F42)</f>
        <v>101491537.30085555</v>
      </c>
    </row>
    <row r="34" spans="1:15" x14ac:dyDescent="0.3">
      <c r="A34">
        <v>24</v>
      </c>
      <c r="B34" t="s">
        <v>29</v>
      </c>
      <c r="C34">
        <v>84878650.867622897</v>
      </c>
      <c r="D34">
        <v>92835400.396964103</v>
      </c>
      <c r="E34">
        <v>82966926.675627306</v>
      </c>
      <c r="F34">
        <v>102556550.34754799</v>
      </c>
      <c r="G34">
        <f t="shared" si="0"/>
        <v>363237528.28776228</v>
      </c>
    </row>
    <row r="35" spans="1:15" x14ac:dyDescent="0.3">
      <c r="A35">
        <v>25</v>
      </c>
      <c r="B35" t="s">
        <v>30</v>
      </c>
      <c r="C35">
        <v>103511368.3</v>
      </c>
      <c r="D35">
        <v>117577849.46350899</v>
      </c>
      <c r="E35">
        <v>102019908.03539599</v>
      </c>
      <c r="F35">
        <v>104013137.153715</v>
      </c>
      <c r="G35">
        <f t="shared" si="0"/>
        <v>427122262.95261997</v>
      </c>
      <c r="K35" t="s">
        <v>63</v>
      </c>
    </row>
    <row r="36" spans="1:15" x14ac:dyDescent="0.3">
      <c r="A36">
        <v>26</v>
      </c>
      <c r="B36" t="s">
        <v>31</v>
      </c>
      <c r="C36">
        <v>105525373.711474</v>
      </c>
      <c r="D36">
        <v>118975028.814083</v>
      </c>
      <c r="E36">
        <v>102381968.14974099</v>
      </c>
      <c r="F36">
        <v>101274825.887306</v>
      </c>
      <c r="G36">
        <f>SUM(C36:F36)</f>
        <v>428157196.56260395</v>
      </c>
      <c r="K36" t="s">
        <v>64</v>
      </c>
      <c r="L36" s="4" t="s">
        <v>69</v>
      </c>
      <c r="M36">
        <f>N33-M33</f>
        <v>12070419.495901555</v>
      </c>
      <c r="N36" t="b">
        <f>M36&gt;O36</f>
        <v>1</v>
      </c>
      <c r="O36">
        <f>L29</f>
        <v>1365711.0150486515</v>
      </c>
    </row>
    <row r="37" spans="1:15" x14ac:dyDescent="0.3">
      <c r="A37">
        <v>27</v>
      </c>
      <c r="B37" t="s">
        <v>32</v>
      </c>
      <c r="G37">
        <f t="shared" si="0"/>
        <v>0</v>
      </c>
      <c r="L37" s="5" t="s">
        <v>70</v>
      </c>
      <c r="M37">
        <f>M33-L33</f>
        <v>2619479.1961746663</v>
      </c>
      <c r="N37" t="b">
        <f t="shared" ref="N37:N41" si="4">M37&gt;O37</f>
        <v>1</v>
      </c>
      <c r="O37">
        <f>L29</f>
        <v>1365711.0150486515</v>
      </c>
    </row>
    <row r="38" spans="1:15" x14ac:dyDescent="0.3">
      <c r="A38">
        <v>28</v>
      </c>
      <c r="B38" t="s">
        <v>33</v>
      </c>
      <c r="G38">
        <f t="shared" si="0"/>
        <v>0</v>
      </c>
      <c r="L38" s="5" t="s">
        <v>71</v>
      </c>
      <c r="M38">
        <f>L33-K33</f>
        <v>132723.53490263224</v>
      </c>
      <c r="N38" t="b">
        <f t="shared" si="4"/>
        <v>0</v>
      </c>
      <c r="O38">
        <f>L29</f>
        <v>1365711.0150486515</v>
      </c>
    </row>
    <row r="39" spans="1:15" x14ac:dyDescent="0.3">
      <c r="A39">
        <v>29</v>
      </c>
      <c r="B39" t="s">
        <v>34</v>
      </c>
      <c r="G39">
        <f t="shared" si="0"/>
        <v>0</v>
      </c>
      <c r="K39" t="s">
        <v>65</v>
      </c>
      <c r="L39" s="5" t="s">
        <v>68</v>
      </c>
      <c r="M39">
        <f>N33-L33</f>
        <v>14689898.692076221</v>
      </c>
      <c r="N39" t="b">
        <f t="shared" si="4"/>
        <v>1</v>
      </c>
      <c r="O39">
        <f>M29</f>
        <v>1633236.657606883</v>
      </c>
    </row>
    <row r="40" spans="1:15" x14ac:dyDescent="0.3">
      <c r="A40">
        <v>30</v>
      </c>
      <c r="B40" t="s">
        <v>35</v>
      </c>
      <c r="G40">
        <f t="shared" si="0"/>
        <v>0</v>
      </c>
      <c r="L40" s="5" t="s">
        <v>72</v>
      </c>
      <c r="M40">
        <f>M33-K33</f>
        <v>2752202.7310772985</v>
      </c>
      <c r="N40" t="b">
        <f t="shared" si="4"/>
        <v>1</v>
      </c>
      <c r="O40">
        <f>M29</f>
        <v>1633236.657606883</v>
      </c>
    </row>
    <row r="41" spans="1:15" x14ac:dyDescent="0.3">
      <c r="A41" t="s">
        <v>40</v>
      </c>
      <c r="C41">
        <f>SUM(C11:C39)</f>
        <v>2324949062.9288039</v>
      </c>
      <c r="D41">
        <f>SUM(D11:D36)</f>
        <v>2638779969.8222442</v>
      </c>
      <c r="E41">
        <f>SUM(E11:E36)</f>
        <v>2253391791.920794</v>
      </c>
      <c r="F41">
        <f>SUM(F11:F36)</f>
        <v>2256842603.8282623</v>
      </c>
      <c r="K41" t="s">
        <v>66</v>
      </c>
      <c r="L41" s="5" t="s">
        <v>67</v>
      </c>
      <c r="M41">
        <f>N33-K33</f>
        <v>14822622.226978853</v>
      </c>
      <c r="N41" t="b">
        <f t="shared" si="4"/>
        <v>1</v>
      </c>
      <c r="O41">
        <f>N29</f>
        <v>1791387.1755832962</v>
      </c>
    </row>
    <row r="42" spans="1:15" x14ac:dyDescent="0.3">
      <c r="C42">
        <f>AVERAGE(C11:C39)</f>
        <v>89421117.804953992</v>
      </c>
      <c r="D42">
        <f>AVERAGE(D11:D36)</f>
        <v>101491537.30085555</v>
      </c>
      <c r="E42">
        <f>AVERAGE(E11:E36)</f>
        <v>86668915.073876694</v>
      </c>
      <c r="F42">
        <f>AVERAGE(F11:F36)</f>
        <v>86801638.608779326</v>
      </c>
      <c r="H42">
        <f>AVERAGE(C42:F42)</f>
        <v>91095802.19711639</v>
      </c>
    </row>
    <row r="43" spans="1:15" x14ac:dyDescent="0.3">
      <c r="E43" s="6">
        <f>(E42-C42)/C42</f>
        <v>-3.0777995160834643E-2</v>
      </c>
      <c r="F43" s="6">
        <f>(F42-C42)/C42</f>
        <v>-2.9293742467951404E-2</v>
      </c>
    </row>
    <row r="45" spans="1:15" x14ac:dyDescent="0.3">
      <c r="C45" t="s">
        <v>50</v>
      </c>
    </row>
    <row r="46" spans="1:15" x14ac:dyDescent="0.3">
      <c r="B46">
        <v>1</v>
      </c>
      <c r="C46">
        <f>(C11-$C$42)^2</f>
        <v>11148173778017.695</v>
      </c>
      <c r="D46">
        <f>(D11-$D$42)^2</f>
        <v>237557369245601.53</v>
      </c>
      <c r="E46">
        <f>(E11-$E$42)^2</f>
        <v>7416473162945.0654</v>
      </c>
      <c r="F46">
        <f>(F11-$F$42)^2</f>
        <v>16540001090263.781</v>
      </c>
      <c r="L46" s="6"/>
    </row>
    <row r="47" spans="1:15" x14ac:dyDescent="0.3">
      <c r="B47">
        <v>2</v>
      </c>
      <c r="C47">
        <f t="shared" ref="C47:C71" si="5">(C12-$C$42)^2</f>
        <v>3570859917417.6079</v>
      </c>
      <c r="D47">
        <f t="shared" ref="D47:D71" si="6">(D12-$D$42)^2</f>
        <v>47918558307803.883</v>
      </c>
      <c r="E47">
        <f t="shared" ref="E47:E71" si="7">(E12-$E$42)^2</f>
        <v>8573273545229.8818</v>
      </c>
      <c r="F47">
        <f t="shared" ref="F47:F71" si="8">(F12-$F$42)^2</f>
        <v>18939517333164.625</v>
      </c>
    </row>
    <row r="48" spans="1:15" x14ac:dyDescent="0.3">
      <c r="B48">
        <v>3</v>
      </c>
      <c r="C48">
        <f t="shared" si="5"/>
        <v>12138717715629.871</v>
      </c>
      <c r="D48">
        <f t="shared" si="6"/>
        <v>167487642691198.03</v>
      </c>
      <c r="E48">
        <f t="shared" si="7"/>
        <v>10984762796427.854</v>
      </c>
      <c r="F48">
        <f t="shared" si="8"/>
        <v>8324956552587.8516</v>
      </c>
    </row>
    <row r="49" spans="2:6" x14ac:dyDescent="0.3">
      <c r="B49">
        <v>4</v>
      </c>
      <c r="C49">
        <f t="shared" si="5"/>
        <v>97911904369713.875</v>
      </c>
      <c r="D49">
        <f t="shared" si="6"/>
        <v>35902126103762.664</v>
      </c>
      <c r="E49">
        <f t="shared" si="7"/>
        <v>85450561017333.375</v>
      </c>
      <c r="F49">
        <f t="shared" si="8"/>
        <v>74844640940101.328</v>
      </c>
    </row>
    <row r="50" spans="2:6" x14ac:dyDescent="0.3">
      <c r="B50">
        <v>5</v>
      </c>
      <c r="C50">
        <f t="shared" si="5"/>
        <v>103337008803094.23</v>
      </c>
      <c r="D50">
        <f t="shared" si="6"/>
        <v>73318078839413.141</v>
      </c>
      <c r="E50">
        <f t="shared" si="7"/>
        <v>83475973488518.766</v>
      </c>
      <c r="F50">
        <f t="shared" si="8"/>
        <v>109066707496044.67</v>
      </c>
    </row>
    <row r="51" spans="2:6" x14ac:dyDescent="0.3">
      <c r="B51">
        <v>6</v>
      </c>
      <c r="C51">
        <f t="shared" si="5"/>
        <v>100389538865168.13</v>
      </c>
      <c r="D51">
        <f t="shared" si="6"/>
        <v>190343829117450.88</v>
      </c>
      <c r="E51">
        <f t="shared" si="7"/>
        <v>86252763118444</v>
      </c>
      <c r="F51">
        <f t="shared" si="8"/>
        <v>35569382633432.555</v>
      </c>
    </row>
    <row r="52" spans="2:6" x14ac:dyDescent="0.3">
      <c r="B52">
        <v>7</v>
      </c>
      <c r="C52">
        <f t="shared" si="5"/>
        <v>30412409823602.266</v>
      </c>
      <c r="D52">
        <f t="shared" si="6"/>
        <v>36183678885133.758</v>
      </c>
      <c r="E52">
        <f t="shared" si="7"/>
        <v>15118001227372.127</v>
      </c>
      <c r="F52">
        <f t="shared" si="8"/>
        <v>32464609153044.828</v>
      </c>
    </row>
    <row r="53" spans="2:6" x14ac:dyDescent="0.3">
      <c r="B53">
        <v>8</v>
      </c>
      <c r="C53">
        <f t="shared" si="5"/>
        <v>13304356927934.004</v>
      </c>
      <c r="D53">
        <f t="shared" si="6"/>
        <v>8789675124007.4746</v>
      </c>
      <c r="E53">
        <f t="shared" si="7"/>
        <v>19486821455421.227</v>
      </c>
      <c r="F53">
        <f t="shared" si="8"/>
        <v>18635143977082.926</v>
      </c>
    </row>
    <row r="54" spans="2:6" x14ac:dyDescent="0.3">
      <c r="B54">
        <v>9</v>
      </c>
      <c r="C54">
        <f t="shared" si="5"/>
        <v>23514734913992.34</v>
      </c>
      <c r="D54">
        <f t="shared" si="6"/>
        <v>2548452302480.0469</v>
      </c>
      <c r="E54">
        <f t="shared" si="7"/>
        <v>25272995725938.125</v>
      </c>
      <c r="F54">
        <f t="shared" si="8"/>
        <v>121800474454452.86</v>
      </c>
    </row>
    <row r="55" spans="2:6" x14ac:dyDescent="0.3">
      <c r="B55">
        <v>10</v>
      </c>
      <c r="C55">
        <f t="shared" si="5"/>
        <v>189698764978883.09</v>
      </c>
      <c r="D55">
        <f t="shared" si="6"/>
        <v>352676853055846.88</v>
      </c>
      <c r="E55">
        <f t="shared" si="7"/>
        <v>155037672843640.28</v>
      </c>
      <c r="F55">
        <f t="shared" si="8"/>
        <v>188149194308783.94</v>
      </c>
    </row>
    <row r="56" spans="2:6" x14ac:dyDescent="0.3">
      <c r="B56">
        <v>11</v>
      </c>
      <c r="C56">
        <f t="shared" si="5"/>
        <v>157701388120959.84</v>
      </c>
      <c r="D56">
        <f t="shared" si="6"/>
        <v>472596319089364.44</v>
      </c>
      <c r="E56">
        <f t="shared" si="7"/>
        <v>151172708679106.16</v>
      </c>
      <c r="F56">
        <f t="shared" si="8"/>
        <v>153034716421553.75</v>
      </c>
    </row>
    <row r="57" spans="2:6" x14ac:dyDescent="0.3">
      <c r="B57">
        <v>12</v>
      </c>
      <c r="C57">
        <f t="shared" si="5"/>
        <v>176852514933997.56</v>
      </c>
      <c r="D57">
        <f t="shared" si="6"/>
        <v>375474707983915.69</v>
      </c>
      <c r="E57">
        <f t="shared" si="7"/>
        <v>133109687395041.44</v>
      </c>
      <c r="F57">
        <f t="shared" si="8"/>
        <v>132479752973138.56</v>
      </c>
    </row>
    <row r="58" spans="2:6" x14ac:dyDescent="0.3">
      <c r="B58">
        <v>13</v>
      </c>
      <c r="C58">
        <f t="shared" si="5"/>
        <v>190687967166185.59</v>
      </c>
      <c r="D58">
        <f t="shared" si="6"/>
        <v>131728035548091.69</v>
      </c>
      <c r="E58">
        <f t="shared" si="7"/>
        <v>162837076524552.41</v>
      </c>
      <c r="F58">
        <f t="shared" si="8"/>
        <v>221679981902114.59</v>
      </c>
    </row>
    <row r="59" spans="2:6" x14ac:dyDescent="0.3">
      <c r="B59">
        <v>14</v>
      </c>
      <c r="C59">
        <f t="shared" si="5"/>
        <v>193630102675043.22</v>
      </c>
      <c r="D59">
        <f t="shared" si="6"/>
        <v>213935520107814.41</v>
      </c>
      <c r="E59">
        <f t="shared" si="7"/>
        <v>149967242606510.06</v>
      </c>
      <c r="F59">
        <f t="shared" si="8"/>
        <v>210519666411969.28</v>
      </c>
    </row>
    <row r="60" spans="2:6" x14ac:dyDescent="0.3">
      <c r="B60">
        <v>15</v>
      </c>
      <c r="C60">
        <f t="shared" si="5"/>
        <v>203738736748143.66</v>
      </c>
      <c r="D60">
        <f t="shared" si="6"/>
        <v>1172183809550317.8</v>
      </c>
      <c r="E60">
        <f t="shared" si="7"/>
        <v>136769055992086.5</v>
      </c>
      <c r="F60">
        <f t="shared" si="8"/>
        <v>153110488964664.88</v>
      </c>
    </row>
    <row r="61" spans="2:6" x14ac:dyDescent="0.3">
      <c r="B61">
        <v>16</v>
      </c>
      <c r="C61">
        <f t="shared" si="5"/>
        <v>201772224622839.59</v>
      </c>
      <c r="D61">
        <f t="shared" si="6"/>
        <v>658391881182398.75</v>
      </c>
      <c r="E61">
        <f t="shared" si="7"/>
        <v>192952083397135.69</v>
      </c>
      <c r="F61">
        <f t="shared" si="8"/>
        <v>8583688409934.5078</v>
      </c>
    </row>
    <row r="62" spans="2:6" x14ac:dyDescent="0.3">
      <c r="B62">
        <v>17</v>
      </c>
      <c r="C62">
        <f t="shared" si="5"/>
        <v>17798107986022.141</v>
      </c>
      <c r="D62">
        <f t="shared" si="6"/>
        <v>403783590586126.81</v>
      </c>
      <c r="E62">
        <f t="shared" si="7"/>
        <v>190150252941264.53</v>
      </c>
      <c r="F62">
        <f t="shared" si="8"/>
        <v>184714650781481.28</v>
      </c>
    </row>
    <row r="63" spans="2:6" x14ac:dyDescent="0.3">
      <c r="B63">
        <v>18</v>
      </c>
      <c r="C63">
        <f t="shared" si="5"/>
        <v>4435883350972.6162</v>
      </c>
      <c r="D63">
        <f t="shared" si="6"/>
        <v>27876632715443.699</v>
      </c>
      <c r="E63">
        <f t="shared" si="7"/>
        <v>13196652983687.191</v>
      </c>
      <c r="F63">
        <f t="shared" si="8"/>
        <v>23503574360497.035</v>
      </c>
    </row>
    <row r="64" spans="2:6" x14ac:dyDescent="0.3">
      <c r="B64">
        <v>19</v>
      </c>
      <c r="C64">
        <f t="shared" si="5"/>
        <v>151448841928965.78</v>
      </c>
      <c r="D64">
        <f t="shared" si="6"/>
        <v>75334248630550.531</v>
      </c>
      <c r="E64">
        <f t="shared" si="7"/>
        <v>118619913517156.92</v>
      </c>
      <c r="F64">
        <f t="shared" si="8"/>
        <v>165526809636925.19</v>
      </c>
    </row>
    <row r="65" spans="2:6" x14ac:dyDescent="0.3">
      <c r="B65">
        <v>20</v>
      </c>
      <c r="C65">
        <f t="shared" si="5"/>
        <v>143419903645318.16</v>
      </c>
      <c r="D65">
        <f t="shared" si="6"/>
        <v>93026011232410.234</v>
      </c>
      <c r="E65">
        <f t="shared" si="7"/>
        <v>128072184164695.64</v>
      </c>
      <c r="F65">
        <f t="shared" si="8"/>
        <v>105340998852160.11</v>
      </c>
    </row>
    <row r="66" spans="2:6" x14ac:dyDescent="0.3">
      <c r="B66">
        <v>21</v>
      </c>
      <c r="C66">
        <f t="shared" si="5"/>
        <v>171085787815215.06</v>
      </c>
      <c r="D66">
        <f t="shared" si="6"/>
        <v>139894653673722.45</v>
      </c>
      <c r="E66">
        <f t="shared" si="7"/>
        <v>144759599727146.81</v>
      </c>
      <c r="F66">
        <f t="shared" si="8"/>
        <v>17255476490340.104</v>
      </c>
    </row>
    <row r="67" spans="2:6" x14ac:dyDescent="0.3">
      <c r="B67">
        <v>22</v>
      </c>
      <c r="C67">
        <f t="shared" si="5"/>
        <v>23758119798432.074</v>
      </c>
      <c r="D67">
        <f t="shared" si="6"/>
        <v>29732492823001.063</v>
      </c>
      <c r="E67">
        <f t="shared" si="7"/>
        <v>13844217901800.584</v>
      </c>
      <c r="F67">
        <f t="shared" si="8"/>
        <v>117960572063984.59</v>
      </c>
    </row>
    <row r="68" spans="2:6" x14ac:dyDescent="0.3">
      <c r="B68">
        <v>23</v>
      </c>
      <c r="C68">
        <f t="shared" si="5"/>
        <v>31179505902149.676</v>
      </c>
      <c r="D68">
        <f t="shared" si="6"/>
        <v>101105353968613.05</v>
      </c>
      <c r="E68">
        <f t="shared" si="7"/>
        <v>12749554870348.381</v>
      </c>
      <c r="F68">
        <f t="shared" si="8"/>
        <v>32873683575378.73</v>
      </c>
    </row>
    <row r="69" spans="2:6" x14ac:dyDescent="0.3">
      <c r="B69">
        <v>24</v>
      </c>
      <c r="C69">
        <f t="shared" si="5"/>
        <v>20634005876746.141</v>
      </c>
      <c r="D69">
        <f t="shared" si="6"/>
        <v>74928706098911.359</v>
      </c>
      <c r="E69">
        <f t="shared" si="7"/>
        <v>13704718100773.068</v>
      </c>
      <c r="F69">
        <f t="shared" si="8"/>
        <v>248217243896390.75</v>
      </c>
    </row>
    <row r="70" spans="2:6" x14ac:dyDescent="0.3">
      <c r="B70">
        <v>25</v>
      </c>
      <c r="C70">
        <f t="shared" si="5"/>
        <v>198535159013144.19</v>
      </c>
      <c r="D70">
        <f t="shared" si="6"/>
        <v>258769438994332.19</v>
      </c>
      <c r="E70">
        <f t="shared" si="7"/>
        <v>235652984904615.13</v>
      </c>
      <c r="F70">
        <f t="shared" si="8"/>
        <v>296235682162322.81</v>
      </c>
    </row>
    <row r="71" spans="2:6" x14ac:dyDescent="0.3">
      <c r="B71">
        <v>26</v>
      </c>
      <c r="C71">
        <f t="shared" si="5"/>
        <v>259347058302684.59</v>
      </c>
      <c r="D71">
        <f t="shared" si="6"/>
        <v>305672475493096.19</v>
      </c>
      <c r="E71">
        <f t="shared" si="7"/>
        <v>246900036964928.53</v>
      </c>
      <c r="F71">
        <f t="shared" si="8"/>
        <v>209473149999306.5</v>
      </c>
    </row>
    <row r="72" spans="2:6" x14ac:dyDescent="0.3">
      <c r="B72">
        <v>27</v>
      </c>
    </row>
    <row r="73" spans="2:6" x14ac:dyDescent="0.3">
      <c r="B73">
        <v>28</v>
      </c>
    </row>
    <row r="74" spans="2:6" x14ac:dyDescent="0.3">
      <c r="B74">
        <v>29</v>
      </c>
    </row>
    <row r="75" spans="2:6" x14ac:dyDescent="0.3">
      <c r="B75">
        <v>30</v>
      </c>
    </row>
  </sheetData>
  <mergeCells count="1">
    <mergeCell ref="A9:G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7195-779F-42E4-A4F2-1A46566CCBBC}">
  <dimension ref="A1:O75"/>
  <sheetViews>
    <sheetView topLeftCell="A22" zoomScale="145" zoomScaleNormal="145" workbookViewId="0">
      <selection activeCell="E44" sqref="E44:F44"/>
    </sheetView>
  </sheetViews>
  <sheetFormatPr defaultRowHeight="14.4" x14ac:dyDescent="0.3"/>
  <cols>
    <col min="1" max="1" width="8" bestFit="1" customWidth="1"/>
    <col min="2" max="2" width="9" bestFit="1" customWidth="1"/>
    <col min="3" max="6" width="16.88671875" customWidth="1"/>
    <col min="12" max="12" width="14.44140625" bestFit="1" customWidth="1"/>
    <col min="14" max="14" width="14.6640625" bestFit="1" customWidth="1"/>
  </cols>
  <sheetData>
    <row r="1" spans="1:15" x14ac:dyDescent="0.3">
      <c r="A1" t="s">
        <v>36</v>
      </c>
      <c r="B1">
        <f>ROWS(B11:B40)</f>
        <v>30</v>
      </c>
    </row>
    <row r="2" spans="1:15" x14ac:dyDescent="0.3">
      <c r="A2" t="s">
        <v>37</v>
      </c>
      <c r="B2">
        <f>COLUMNS(C10:F10)</f>
        <v>4</v>
      </c>
    </row>
    <row r="3" spans="1:15" x14ac:dyDescent="0.3">
      <c r="A3" t="s">
        <v>38</v>
      </c>
      <c r="B3">
        <f>B2*B1</f>
        <v>120</v>
      </c>
    </row>
    <row r="4" spans="1:15" x14ac:dyDescent="0.3">
      <c r="A4" t="s">
        <v>39</v>
      </c>
      <c r="B4">
        <f>SUM(C11:F40)</f>
        <v>2224180.8380908007</v>
      </c>
    </row>
    <row r="5" spans="1:15" x14ac:dyDescent="0.3">
      <c r="A5" t="s">
        <v>42</v>
      </c>
      <c r="B5">
        <f>(B4^2)/B1</f>
        <v>164899346684.34323</v>
      </c>
    </row>
    <row r="6" spans="1:15" x14ac:dyDescent="0.3">
      <c r="A6" t="s">
        <v>52</v>
      </c>
      <c r="B6" t="s">
        <v>55</v>
      </c>
    </row>
    <row r="7" spans="1:15" x14ac:dyDescent="0.3">
      <c r="A7" t="s">
        <v>53</v>
      </c>
      <c r="B7" t="s">
        <v>54</v>
      </c>
    </row>
    <row r="9" spans="1:15" x14ac:dyDescent="0.3">
      <c r="A9" s="7" t="s">
        <v>75</v>
      </c>
      <c r="B9" s="7"/>
      <c r="C9" s="7"/>
      <c r="D9" s="7"/>
      <c r="E9" s="7"/>
      <c r="F9" s="7"/>
      <c r="G9" s="7"/>
    </row>
    <row r="10" spans="1:15" ht="42.6" customHeight="1" x14ac:dyDescent="0.3">
      <c r="A10" s="1" t="s">
        <v>17</v>
      </c>
      <c r="B10" s="1" t="s">
        <v>4</v>
      </c>
      <c r="C10" s="1" t="s">
        <v>0</v>
      </c>
      <c r="D10" s="1" t="s">
        <v>3</v>
      </c>
      <c r="E10" s="1" t="s">
        <v>1</v>
      </c>
      <c r="F10" s="1" t="s">
        <v>2</v>
      </c>
      <c r="G10" s="1" t="s">
        <v>41</v>
      </c>
    </row>
    <row r="11" spans="1:15" x14ac:dyDescent="0.3">
      <c r="A11">
        <v>1</v>
      </c>
      <c r="B11" t="s">
        <v>5</v>
      </c>
      <c r="C11" s="9">
        <v>21048.33354</v>
      </c>
      <c r="D11" s="9">
        <v>26666.157279999999</v>
      </c>
      <c r="E11" s="9">
        <v>20279.54522</v>
      </c>
      <c r="F11" s="9">
        <v>20614.468834925501</v>
      </c>
      <c r="G11">
        <f>SUM(C11:F11)</f>
        <v>88608.504874925507</v>
      </c>
    </row>
    <row r="12" spans="1:15" x14ac:dyDescent="0.3">
      <c r="A12">
        <v>2</v>
      </c>
      <c r="B12" t="s">
        <v>6</v>
      </c>
      <c r="C12" s="9">
        <v>20728.896642974101</v>
      </c>
      <c r="D12" s="9">
        <v>24690.016052844101</v>
      </c>
      <c r="E12" s="9">
        <v>20325.982387710999</v>
      </c>
      <c r="F12" s="9">
        <v>20679.127537321601</v>
      </c>
      <c r="G12">
        <f t="shared" ref="G12:G40" si="0">SUM(C12:F12)</f>
        <v>86424.02262085081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</row>
    <row r="13" spans="1:15" x14ac:dyDescent="0.3">
      <c r="A13">
        <v>3</v>
      </c>
      <c r="B13" t="s">
        <v>7</v>
      </c>
      <c r="C13" s="9">
        <v>21081.276166692202</v>
      </c>
      <c r="D13" s="9">
        <v>26258.2007785926</v>
      </c>
      <c r="E13" s="9">
        <v>20413.621137324899</v>
      </c>
      <c r="F13" s="9">
        <v>20346.4016989433</v>
      </c>
      <c r="G13">
        <f t="shared" si="0"/>
        <v>88099.499781552993</v>
      </c>
      <c r="K13" t="s">
        <v>48</v>
      </c>
      <c r="L13">
        <f>B1*((C42-H42)^2+(D42-H42)^2+(E42-H42)^2+(F42-H42)^2)</f>
        <v>270854552.41769671</v>
      </c>
      <c r="M13">
        <f>B2-1</f>
        <v>3</v>
      </c>
      <c r="N13">
        <f>L13/M13</f>
        <v>90284850.805898905</v>
      </c>
      <c r="O13">
        <f>N13/N14</f>
        <v>518.54640293610555</v>
      </c>
    </row>
    <row r="14" spans="1:15" x14ac:dyDescent="0.3">
      <c r="A14">
        <v>4</v>
      </c>
      <c r="B14" t="s">
        <v>8</v>
      </c>
      <c r="C14" s="9">
        <v>21083.26442</v>
      </c>
      <c r="D14" s="9">
        <v>25810.729459999999</v>
      </c>
      <c r="E14" s="9">
        <v>20531.680670000002</v>
      </c>
      <c r="F14" s="9">
        <v>20735.038174666199</v>
      </c>
      <c r="G14">
        <f>SUM(C14:F14)</f>
        <v>88160.712724666198</v>
      </c>
      <c r="K14" t="s">
        <v>49</v>
      </c>
      <c r="L14">
        <f>SUM(C46:F71)</f>
        <v>82877036.15389511</v>
      </c>
      <c r="M14">
        <f>B2*(B3-1)</f>
        <v>476</v>
      </c>
      <c r="N14">
        <f t="shared" ref="N14:N15" si="1">L14/M14</f>
        <v>174111.42049137628</v>
      </c>
    </row>
    <row r="15" spans="1:15" x14ac:dyDescent="0.3">
      <c r="A15">
        <v>5</v>
      </c>
      <c r="B15" t="s">
        <v>9</v>
      </c>
      <c r="C15" s="9">
        <v>21050.6338822863</v>
      </c>
      <c r="D15" s="9">
        <v>25218.165436080799</v>
      </c>
      <c r="E15" s="9">
        <v>20636.7837102554</v>
      </c>
      <c r="F15" s="9">
        <v>20238.0434346275</v>
      </c>
      <c r="G15">
        <f t="shared" si="0"/>
        <v>87143.626463249995</v>
      </c>
      <c r="K15" t="s">
        <v>39</v>
      </c>
      <c r="L15">
        <f>SUM(L13:L14)</f>
        <v>353731588.57159185</v>
      </c>
      <c r="M15">
        <f>SUM(M13:M14)</f>
        <v>479</v>
      </c>
      <c r="N15">
        <f t="shared" si="1"/>
        <v>738479.30808265519</v>
      </c>
    </row>
    <row r="16" spans="1:15" x14ac:dyDescent="0.3">
      <c r="A16">
        <v>6</v>
      </c>
      <c r="B16" t="s">
        <v>10</v>
      </c>
      <c r="C16" s="9">
        <v>21179.423790986399</v>
      </c>
      <c r="D16" s="9">
        <v>23662.984941483799</v>
      </c>
      <c r="E16" s="9">
        <v>20525.644165323101</v>
      </c>
      <c r="F16" s="9">
        <v>20907.290031959801</v>
      </c>
      <c r="G16">
        <f t="shared" si="0"/>
        <v>86275.342929753097</v>
      </c>
      <c r="L16">
        <f>N14</f>
        <v>174111.42049137628</v>
      </c>
    </row>
    <row r="17" spans="1:14" x14ac:dyDescent="0.3">
      <c r="A17">
        <v>7</v>
      </c>
      <c r="B17" t="s">
        <v>11</v>
      </c>
      <c r="C17" s="9">
        <v>21406.056949999998</v>
      </c>
      <c r="D17" s="9">
        <v>24394.559649999999</v>
      </c>
      <c r="E17" s="9">
        <v>20409.534029999999</v>
      </c>
      <c r="F17" s="9">
        <v>20847.286659044701</v>
      </c>
      <c r="G17">
        <f t="shared" si="0"/>
        <v>87057.437289044698</v>
      </c>
      <c r="L17">
        <f>M14</f>
        <v>476</v>
      </c>
    </row>
    <row r="18" spans="1:14" x14ac:dyDescent="0.3">
      <c r="A18">
        <v>8</v>
      </c>
      <c r="B18" t="s">
        <v>12</v>
      </c>
      <c r="C18" s="9">
        <v>20975.576201460099</v>
      </c>
      <c r="D18" s="9">
        <v>22235.792975460001</v>
      </c>
      <c r="E18" s="9">
        <v>20528.1278067403</v>
      </c>
      <c r="F18" s="9">
        <v>20536.056530051301</v>
      </c>
      <c r="G18">
        <f t="shared" si="0"/>
        <v>84275.553513711697</v>
      </c>
    </row>
    <row r="19" spans="1:14" x14ac:dyDescent="0.3">
      <c r="A19">
        <v>9</v>
      </c>
      <c r="B19" t="s">
        <v>13</v>
      </c>
      <c r="C19" s="9">
        <v>21246.4091085297</v>
      </c>
      <c r="D19" s="9">
        <v>22514.119908729499</v>
      </c>
      <c r="E19" s="9">
        <v>20666.247582591201</v>
      </c>
      <c r="F19" s="9">
        <v>20139.6367316781</v>
      </c>
      <c r="G19">
        <f t="shared" si="0"/>
        <v>84566.4133315285</v>
      </c>
      <c r="K19" t="s">
        <v>51</v>
      </c>
      <c r="L19">
        <f>_xlfn.F.INV.RT(0.05, M13,M14)</f>
        <v>2.6236374659507562</v>
      </c>
    </row>
    <row r="20" spans="1:14" x14ac:dyDescent="0.3">
      <c r="A20">
        <v>10</v>
      </c>
      <c r="B20" t="s">
        <v>15</v>
      </c>
      <c r="C20" s="9">
        <v>20119.149020000001</v>
      </c>
      <c r="D20" s="9">
        <v>22366.64271</v>
      </c>
      <c r="E20" s="9">
        <v>19696.789430000001</v>
      </c>
      <c r="F20" s="9">
        <v>19427.137142554999</v>
      </c>
      <c r="G20">
        <f>SUM(C20:F20)</f>
        <v>81609.718302555004</v>
      </c>
      <c r="K20" t="s">
        <v>56</v>
      </c>
    </row>
    <row r="21" spans="1:14" x14ac:dyDescent="0.3">
      <c r="A21">
        <v>11</v>
      </c>
      <c r="B21" t="s">
        <v>16</v>
      </c>
      <c r="C21" s="9">
        <v>20431.471684033098</v>
      </c>
      <c r="D21" s="9">
        <v>21513.9618950437</v>
      </c>
      <c r="E21" s="9">
        <v>19759.214648837598</v>
      </c>
      <c r="F21" s="9">
        <v>19753.428472228199</v>
      </c>
      <c r="G21">
        <f t="shared" si="0"/>
        <v>81458.076700142599</v>
      </c>
      <c r="K21" t="s">
        <v>57</v>
      </c>
    </row>
    <row r="22" spans="1:14" x14ac:dyDescent="0.3">
      <c r="A22">
        <v>12</v>
      </c>
      <c r="B22" t="s">
        <v>14</v>
      </c>
      <c r="C22" s="9">
        <v>20256.127486063499</v>
      </c>
      <c r="D22" s="9">
        <v>22097.515484093899</v>
      </c>
      <c r="E22" s="9">
        <v>19949.972891027501</v>
      </c>
      <c r="F22" s="9">
        <v>19965.964912173102</v>
      </c>
      <c r="G22">
        <f t="shared" si="0"/>
        <v>82269.580773358</v>
      </c>
    </row>
    <row r="23" spans="1:14" x14ac:dyDescent="0.3">
      <c r="A23">
        <v>13</v>
      </c>
      <c r="B23" t="s">
        <v>18</v>
      </c>
      <c r="C23" s="9">
        <v>20066.91518</v>
      </c>
      <c r="D23" s="9">
        <v>24256.064091630298</v>
      </c>
      <c r="E23" s="9">
        <v>19588.696499999998</v>
      </c>
      <c r="F23" s="9">
        <v>19610.776427650599</v>
      </c>
      <c r="G23">
        <f t="shared" si="0"/>
        <v>83522.452199280902</v>
      </c>
    </row>
    <row r="24" spans="1:14" x14ac:dyDescent="0.3">
      <c r="A24">
        <v>14</v>
      </c>
      <c r="B24" t="s">
        <v>19</v>
      </c>
      <c r="C24" s="9">
        <v>20076.0474351056</v>
      </c>
      <c r="D24" s="9">
        <v>23288.204425176398</v>
      </c>
      <c r="E24" s="9">
        <v>19761.764139131599</v>
      </c>
      <c r="F24" s="9">
        <v>20858.747060080499</v>
      </c>
      <c r="G24">
        <f t="shared" si="0"/>
        <v>83984.7630594941</v>
      </c>
    </row>
    <row r="25" spans="1:14" x14ac:dyDescent="0.3">
      <c r="A25">
        <v>15</v>
      </c>
      <c r="B25" t="s">
        <v>20</v>
      </c>
      <c r="C25" s="9">
        <v>21349.562628910298</v>
      </c>
      <c r="D25" s="9">
        <v>27991.071820000001</v>
      </c>
      <c r="E25" s="9">
        <v>19918.726026393899</v>
      </c>
      <c r="F25" s="9">
        <v>20423.274491614698</v>
      </c>
      <c r="G25">
        <f t="shared" ref="G25:G30" si="2">SUM(C25:F25)</f>
        <v>89682.634966918908</v>
      </c>
      <c r="K25" t="s">
        <v>58</v>
      </c>
    </row>
    <row r="26" spans="1:14" x14ac:dyDescent="0.3">
      <c r="A26">
        <v>16</v>
      </c>
      <c r="B26" t="s">
        <v>22</v>
      </c>
      <c r="C26" s="9">
        <v>21335.345447504202</v>
      </c>
      <c r="D26" s="9">
        <v>26238.2759802244</v>
      </c>
      <c r="E26" s="9">
        <v>20704.06309</v>
      </c>
      <c r="F26" s="9">
        <v>19874.8448748954</v>
      </c>
      <c r="G26">
        <f t="shared" si="2"/>
        <v>88152.529392623997</v>
      </c>
      <c r="K26" t="s">
        <v>59</v>
      </c>
    </row>
    <row r="27" spans="1:14" x14ac:dyDescent="0.3">
      <c r="A27">
        <v>17</v>
      </c>
      <c r="B27" t="s">
        <v>23</v>
      </c>
      <c r="C27" s="9">
        <v>20223.673727540299</v>
      </c>
      <c r="D27" s="9">
        <v>25058.925069373701</v>
      </c>
      <c r="E27" s="9">
        <v>20683.2227704123</v>
      </c>
      <c r="F27" s="9">
        <v>19802.7216104789</v>
      </c>
      <c r="G27">
        <f t="shared" si="2"/>
        <v>85768.543177805186</v>
      </c>
      <c r="K27" t="s">
        <v>60</v>
      </c>
      <c r="L27">
        <v>2</v>
      </c>
      <c r="M27">
        <v>3</v>
      </c>
      <c r="N27">
        <v>4</v>
      </c>
    </row>
    <row r="28" spans="1:14" x14ac:dyDescent="0.3">
      <c r="A28">
        <v>18</v>
      </c>
      <c r="B28" t="s">
        <v>21</v>
      </c>
      <c r="C28" s="9">
        <v>20730.048461181799</v>
      </c>
      <c r="D28" s="9">
        <v>23222.71413</v>
      </c>
      <c r="E28" s="9">
        <v>19676.823529886798</v>
      </c>
      <c r="F28" s="9">
        <v>20997.589059247901</v>
      </c>
      <c r="G28">
        <f t="shared" si="2"/>
        <v>84627.175180316495</v>
      </c>
      <c r="K28" t="s">
        <v>61</v>
      </c>
      <c r="L28" s="3">
        <v>2.7719999999999998</v>
      </c>
      <c r="M28">
        <v>3.3149999999999999</v>
      </c>
      <c r="N28">
        <v>3.6360000000000001</v>
      </c>
    </row>
    <row r="29" spans="1:14" x14ac:dyDescent="0.3">
      <c r="A29">
        <v>19</v>
      </c>
      <c r="B29" t="s">
        <v>24</v>
      </c>
      <c r="C29" s="9">
        <v>21237.489170000001</v>
      </c>
      <c r="D29" s="9">
        <v>22134.988519553499</v>
      </c>
      <c r="E29" s="9">
        <v>20367.472239999999</v>
      </c>
      <c r="F29" s="9">
        <v>20807.3822302677</v>
      </c>
      <c r="G29">
        <f t="shared" si="2"/>
        <v>84547.332159821206</v>
      </c>
      <c r="K29" t="s">
        <v>62</v>
      </c>
      <c r="L29">
        <f>L28*SQRT($L$16/$B$3)</f>
        <v>105.58840566372993</v>
      </c>
      <c r="M29">
        <f t="shared" ref="M29:N29" si="3">M28*SQRT($L$16/$B$3)</f>
        <v>126.27184876452552</v>
      </c>
      <c r="N29">
        <f t="shared" si="3"/>
        <v>138.49907755891849</v>
      </c>
    </row>
    <row r="30" spans="1:14" x14ac:dyDescent="0.3">
      <c r="A30">
        <v>20</v>
      </c>
      <c r="B30" t="s">
        <v>25</v>
      </c>
      <c r="C30" s="9">
        <v>21168.459860496201</v>
      </c>
      <c r="D30" s="9">
        <v>21852.614326569601</v>
      </c>
      <c r="E30" s="9">
        <v>20456.328443163198</v>
      </c>
      <c r="F30" s="9">
        <v>20264.136728099202</v>
      </c>
      <c r="G30">
        <f t="shared" si="2"/>
        <v>83741.539358328198</v>
      </c>
    </row>
    <row r="31" spans="1:14" x14ac:dyDescent="0.3">
      <c r="A31">
        <v>21</v>
      </c>
      <c r="B31" t="s">
        <v>26</v>
      </c>
      <c r="C31" s="9">
        <v>21398.9758670927</v>
      </c>
      <c r="D31" s="9">
        <v>23677.234503656498</v>
      </c>
      <c r="E31" s="9">
        <v>20605.5372513201</v>
      </c>
      <c r="F31" s="9">
        <v>20765.745587356301</v>
      </c>
      <c r="G31">
        <f t="shared" si="0"/>
        <v>86447.493209425593</v>
      </c>
      <c r="K31" t="s">
        <v>73</v>
      </c>
    </row>
    <row r="32" spans="1:14" x14ac:dyDescent="0.3">
      <c r="A32">
        <v>22</v>
      </c>
      <c r="B32" t="s">
        <v>27</v>
      </c>
      <c r="C32" s="9">
        <v>21248.27535</v>
      </c>
      <c r="D32" s="9">
        <v>24239.976360000001</v>
      </c>
      <c r="E32" s="9">
        <v>20773.386719999999</v>
      </c>
      <c r="F32" s="9">
        <v>21165.182019804801</v>
      </c>
      <c r="G32">
        <f>SUM(C32:F32)</f>
        <v>87426.8204498048</v>
      </c>
      <c r="K32">
        <v>1</v>
      </c>
      <c r="L32">
        <v>2</v>
      </c>
      <c r="M32">
        <v>3</v>
      </c>
      <c r="N32">
        <v>4</v>
      </c>
    </row>
    <row r="33" spans="1:15" x14ac:dyDescent="0.3">
      <c r="A33">
        <v>23</v>
      </c>
      <c r="B33" t="s">
        <v>28</v>
      </c>
      <c r="C33" s="9">
        <v>21027.654026796801</v>
      </c>
      <c r="D33" s="9">
        <v>23130.893369606601</v>
      </c>
      <c r="E33" s="9">
        <v>20847.532160252798</v>
      </c>
      <c r="F33" s="9">
        <v>20302.549696223599</v>
      </c>
      <c r="G33">
        <f t="shared" si="0"/>
        <v>85308.629252879793</v>
      </c>
      <c r="K33">
        <f>MIN(C42:F42)</f>
        <v>20320.862628163279</v>
      </c>
      <c r="L33">
        <f>LARGE(C42:F42, 3)</f>
        <v>20377.600709905833</v>
      </c>
      <c r="M33">
        <f>LARGE(C42:F42, 2)</f>
        <v>20886.534532458849</v>
      </c>
      <c r="N33">
        <f>MAX(C42:F42)</f>
        <v>23960.418979118174</v>
      </c>
    </row>
    <row r="34" spans="1:15" x14ac:dyDescent="0.3">
      <c r="A34">
        <v>24</v>
      </c>
      <c r="B34" t="s">
        <v>29</v>
      </c>
      <c r="C34" s="9">
        <v>21326.294187844898</v>
      </c>
      <c r="D34" s="9">
        <v>23743.069155233701</v>
      </c>
      <c r="E34" s="9">
        <v>20887.947300006799</v>
      </c>
      <c r="F34" s="9">
        <v>20240.092825645999</v>
      </c>
      <c r="G34">
        <f t="shared" si="0"/>
        <v>86197.403468731398</v>
      </c>
    </row>
    <row r="35" spans="1:15" x14ac:dyDescent="0.3">
      <c r="A35">
        <v>25</v>
      </c>
      <c r="B35" t="s">
        <v>30</v>
      </c>
      <c r="C35" s="9">
        <v>20428.531350000001</v>
      </c>
      <c r="D35" s="9">
        <v>23218.374696585499</v>
      </c>
      <c r="E35" s="9">
        <v>20138.1579225022</v>
      </c>
      <c r="F35" s="9">
        <v>20527.5581515128</v>
      </c>
      <c r="G35">
        <f t="shared" si="0"/>
        <v>84312.622120600499</v>
      </c>
      <c r="K35" t="s">
        <v>63</v>
      </c>
    </row>
    <row r="36" spans="1:15" x14ac:dyDescent="0.3">
      <c r="A36">
        <v>26</v>
      </c>
      <c r="B36" t="s">
        <v>31</v>
      </c>
      <c r="C36" s="9">
        <v>20826.0062584318</v>
      </c>
      <c r="D36" s="9">
        <v>23489.640437134</v>
      </c>
      <c r="E36" s="9">
        <v>20209.626559364599</v>
      </c>
      <c r="F36" s="9">
        <v>19987.137534499001</v>
      </c>
      <c r="G36">
        <f>SUM(C36:F36)</f>
        <v>84512.410789429385</v>
      </c>
      <c r="K36" t="s">
        <v>64</v>
      </c>
      <c r="L36" s="4" t="s">
        <v>69</v>
      </c>
      <c r="M36">
        <f>N33-M33</f>
        <v>3073.8844466593255</v>
      </c>
      <c r="N36" t="b">
        <f>M36&gt;O36</f>
        <v>1</v>
      </c>
      <c r="O36">
        <f>L29</f>
        <v>105.58840566372993</v>
      </c>
    </row>
    <row r="37" spans="1:15" x14ac:dyDescent="0.3">
      <c r="A37">
        <v>27</v>
      </c>
      <c r="B37" t="s">
        <v>32</v>
      </c>
      <c r="G37">
        <f t="shared" si="0"/>
        <v>0</v>
      </c>
      <c r="L37" s="5" t="s">
        <v>70</v>
      </c>
      <c r="M37">
        <f>M33-L33</f>
        <v>508.93382255301549</v>
      </c>
      <c r="N37" t="b">
        <f t="shared" ref="N37:N41" si="4">M37&gt;O37</f>
        <v>1</v>
      </c>
      <c r="O37">
        <f>L29</f>
        <v>105.58840566372993</v>
      </c>
    </row>
    <row r="38" spans="1:15" x14ac:dyDescent="0.3">
      <c r="A38">
        <v>28</v>
      </c>
      <c r="B38" t="s">
        <v>33</v>
      </c>
      <c r="G38">
        <f t="shared" si="0"/>
        <v>0</v>
      </c>
      <c r="L38" s="5" t="s">
        <v>71</v>
      </c>
      <c r="M38">
        <f>L33-K33</f>
        <v>56.738081742554641</v>
      </c>
      <c r="N38" t="b">
        <f t="shared" si="4"/>
        <v>0</v>
      </c>
      <c r="O38">
        <f>L29</f>
        <v>105.58840566372993</v>
      </c>
    </row>
    <row r="39" spans="1:15" x14ac:dyDescent="0.3">
      <c r="A39">
        <v>29</v>
      </c>
      <c r="B39" t="s">
        <v>34</v>
      </c>
      <c r="G39">
        <f t="shared" si="0"/>
        <v>0</v>
      </c>
      <c r="K39" t="s">
        <v>65</v>
      </c>
      <c r="L39" s="5" t="s">
        <v>68</v>
      </c>
      <c r="M39">
        <f>N33-L33</f>
        <v>3582.818269212341</v>
      </c>
      <c r="N39" t="b">
        <f t="shared" si="4"/>
        <v>1</v>
      </c>
      <c r="O39">
        <f>M29</f>
        <v>126.27184876452552</v>
      </c>
    </row>
    <row r="40" spans="1:15" x14ac:dyDescent="0.3">
      <c r="A40">
        <v>30</v>
      </c>
      <c r="B40" t="s">
        <v>35</v>
      </c>
      <c r="G40">
        <f t="shared" si="0"/>
        <v>0</v>
      </c>
      <c r="L40" s="5" t="s">
        <v>72</v>
      </c>
      <c r="M40">
        <f>M33-K33</f>
        <v>565.67190429557013</v>
      </c>
      <c r="N40" t="b">
        <f t="shared" si="4"/>
        <v>1</v>
      </c>
      <c r="O40">
        <f>M29</f>
        <v>126.27184876452552</v>
      </c>
    </row>
    <row r="41" spans="1:15" x14ac:dyDescent="0.3">
      <c r="A41" t="s">
        <v>40</v>
      </c>
      <c r="C41" s="9">
        <f>SUM(C11:C39)</f>
        <v>543049.89784393006</v>
      </c>
      <c r="D41" s="9">
        <f>SUM(D11:D36)</f>
        <v>622970.89345707255</v>
      </c>
      <c r="E41" s="9">
        <f>SUM(E11:E36)</f>
        <v>528342.42833224521</v>
      </c>
      <c r="F41" s="9">
        <f>SUM(F11:F36)</f>
        <v>529817.6184575517</v>
      </c>
      <c r="K41" t="s">
        <v>66</v>
      </c>
      <c r="L41" s="5" t="s">
        <v>67</v>
      </c>
      <c r="M41">
        <f>N33-K33</f>
        <v>3639.5563509548956</v>
      </c>
      <c r="N41" t="b">
        <f t="shared" si="4"/>
        <v>1</v>
      </c>
      <c r="O41">
        <f>N29</f>
        <v>138.49907755891849</v>
      </c>
    </row>
    <row r="42" spans="1:15" x14ac:dyDescent="0.3">
      <c r="C42" s="9">
        <f>AVERAGE(C11:C39)</f>
        <v>20886.534532458849</v>
      </c>
      <c r="D42" s="9">
        <f>AVERAGE(D11:D36)</f>
        <v>23960.418979118174</v>
      </c>
      <c r="E42" s="9">
        <f>AVERAGE(E11:E36)</f>
        <v>20320.862628163279</v>
      </c>
      <c r="F42" s="9">
        <f>AVERAGE(F11:F36)</f>
        <v>20377.600709905833</v>
      </c>
      <c r="H42">
        <f>AVERAGE(C42:F42)</f>
        <v>21386.354212411534</v>
      </c>
    </row>
    <row r="43" spans="1:15" x14ac:dyDescent="0.3">
      <c r="E43" s="6">
        <f>(E42-C42)/C42</f>
        <v>-2.7083090467520315E-2</v>
      </c>
      <c r="F43" s="6">
        <f>(F42-C42)/C42</f>
        <v>-2.4366599531487797E-2</v>
      </c>
    </row>
    <row r="44" spans="1:15" x14ac:dyDescent="0.3">
      <c r="E44" s="6">
        <f>(E42-D42)/D42</f>
        <v>-0.15189869401394099</v>
      </c>
      <c r="F44" s="6">
        <f>(F42-D42)/D42</f>
        <v>-0.14953070196037954</v>
      </c>
    </row>
    <row r="45" spans="1:15" x14ac:dyDescent="0.3">
      <c r="C45" t="s">
        <v>50</v>
      </c>
    </row>
    <row r="46" spans="1:15" x14ac:dyDescent="0.3">
      <c r="B46">
        <v>1</v>
      </c>
      <c r="C46">
        <f>(C11-$C$42)^2</f>
        <v>26178.918841301369</v>
      </c>
      <c r="D46">
        <f>(D11-$D$42)^2</f>
        <v>7321019.752858866</v>
      </c>
      <c r="E46">
        <f>(E11-$E$42)^2</f>
        <v>1707.1282173309728</v>
      </c>
      <c r="F46">
        <f>(F11-$F$42)^2</f>
        <v>56106.508650332966</v>
      </c>
      <c r="L46" s="6"/>
    </row>
    <row r="47" spans="1:15" x14ac:dyDescent="0.3">
      <c r="B47">
        <v>2</v>
      </c>
      <c r="C47">
        <f t="shared" ref="C47:C71" si="5">(C12-$C$42)^2</f>
        <v>24849.704201205492</v>
      </c>
      <c r="D47">
        <f t="shared" ref="D47:D71" si="6">(D12-$D$42)^2</f>
        <v>532311.88998943544</v>
      </c>
      <c r="E47">
        <f t="shared" ref="E47:E71" si="7">(E12-$E$42)^2</f>
        <v>26.211937826476294</v>
      </c>
      <c r="F47">
        <f t="shared" ref="F47:F71" si="8">(F12-$F$42)^2</f>
        <v>90918.427651418286</v>
      </c>
    </row>
    <row r="48" spans="1:15" x14ac:dyDescent="0.3">
      <c r="B48">
        <v>3</v>
      </c>
      <c r="C48">
        <f t="shared" si="5"/>
        <v>37924.304103876915</v>
      </c>
      <c r="D48">
        <f t="shared" si="6"/>
        <v>5279801.197995929</v>
      </c>
      <c r="E48">
        <f t="shared" si="7"/>
        <v>8604.141021886373</v>
      </c>
      <c r="F48">
        <f t="shared" si="8"/>
        <v>973.37828504025845</v>
      </c>
    </row>
    <row r="49" spans="2:6" x14ac:dyDescent="0.3">
      <c r="B49">
        <v>4</v>
      </c>
      <c r="C49">
        <f t="shared" si="5"/>
        <v>38702.648651953794</v>
      </c>
      <c r="D49">
        <f t="shared" si="6"/>
        <v>3423648.8756611282</v>
      </c>
      <c r="E49">
        <f t="shared" si="7"/>
        <v>44444.246763870222</v>
      </c>
      <c r="F49">
        <f t="shared" si="8"/>
        <v>127761.54121431746</v>
      </c>
    </row>
    <row r="50" spans="2:6" x14ac:dyDescent="0.3">
      <c r="B50">
        <v>5</v>
      </c>
      <c r="C50">
        <f t="shared" si="5"/>
        <v>26928.596613792168</v>
      </c>
      <c r="D50">
        <f t="shared" si="6"/>
        <v>1581926.1500020351</v>
      </c>
      <c r="E50">
        <f t="shared" si="7"/>
        <v>99806.130110257072</v>
      </c>
      <c r="F50">
        <f t="shared" si="8"/>
        <v>19476.233083112609</v>
      </c>
    </row>
    <row r="51" spans="2:6" x14ac:dyDescent="0.3">
      <c r="B51">
        <v>6</v>
      </c>
      <c r="C51">
        <f t="shared" si="5"/>
        <v>85784.117760817913</v>
      </c>
      <c r="D51">
        <f t="shared" si="6"/>
        <v>88467.006743486971</v>
      </c>
      <c r="E51">
        <f t="shared" si="7"/>
        <v>41935.477961539815</v>
      </c>
      <c r="F51">
        <f t="shared" si="8"/>
        <v>280570.777897992</v>
      </c>
    </row>
    <row r="52" spans="2:6" x14ac:dyDescent="0.3">
      <c r="B52">
        <v>7</v>
      </c>
      <c r="C52">
        <f t="shared" si="5"/>
        <v>269903.54232780047</v>
      </c>
      <c r="D52">
        <f t="shared" si="6"/>
        <v>188478.12211372101</v>
      </c>
      <c r="E52">
        <f t="shared" si="7"/>
        <v>7862.6175036891027</v>
      </c>
      <c r="F52">
        <f t="shared" si="8"/>
        <v>220604.89081847903</v>
      </c>
    </row>
    <row r="53" spans="2:6" x14ac:dyDescent="0.3">
      <c r="B53">
        <v>8</v>
      </c>
      <c r="C53">
        <f t="shared" si="5"/>
        <v>7928.4188185281346</v>
      </c>
      <c r="D53">
        <f t="shared" si="6"/>
        <v>2974334.8524939618</v>
      </c>
      <c r="E53">
        <f t="shared" si="7"/>
        <v>42958.854250564524</v>
      </c>
      <c r="F53">
        <f t="shared" si="8"/>
        <v>25108.246937972726</v>
      </c>
    </row>
    <row r="54" spans="2:6" x14ac:dyDescent="0.3">
      <c r="B54">
        <v>9</v>
      </c>
      <c r="C54">
        <f t="shared" si="5"/>
        <v>129509.71050217516</v>
      </c>
      <c r="D54">
        <f t="shared" si="6"/>
        <v>2091781.0010071464</v>
      </c>
      <c r="E54">
        <f t="shared" si="7"/>
        <v>119290.76674517769</v>
      </c>
      <c r="F54">
        <f t="shared" si="8"/>
        <v>56626.854933969276</v>
      </c>
    </row>
    <row r="55" spans="2:6" x14ac:dyDescent="0.3">
      <c r="B55">
        <v>10</v>
      </c>
      <c r="C55">
        <f t="shared" si="5"/>
        <v>588880.52473172895</v>
      </c>
      <c r="D55">
        <f t="shared" si="6"/>
        <v>2540122.7960042469</v>
      </c>
      <c r="E55">
        <f t="shared" si="7"/>
        <v>389467.35666574206</v>
      </c>
      <c r="F55">
        <f t="shared" si="8"/>
        <v>903380.99286127451</v>
      </c>
    </row>
    <row r="56" spans="2:6" x14ac:dyDescent="0.3">
      <c r="B56">
        <v>11</v>
      </c>
      <c r="C56">
        <f t="shared" si="5"/>
        <v>207082.19601735749</v>
      </c>
      <c r="D56">
        <f t="shared" si="6"/>
        <v>5985152.2642181804</v>
      </c>
      <c r="E56">
        <f t="shared" si="7"/>
        <v>315448.45268061984</v>
      </c>
      <c r="F56">
        <f t="shared" si="8"/>
        <v>389590.98228750518</v>
      </c>
    </row>
    <row r="57" spans="2:6" x14ac:dyDescent="0.3">
      <c r="B57">
        <v>12</v>
      </c>
      <c r="C57">
        <f t="shared" si="5"/>
        <v>397413.04414490936</v>
      </c>
      <c r="D57">
        <f t="shared" si="6"/>
        <v>3470409.4317736584</v>
      </c>
      <c r="E57">
        <f t="shared" si="7"/>
        <v>137559.19711264648</v>
      </c>
      <c r="F57">
        <f t="shared" si="8"/>
        <v>169444.02997506232</v>
      </c>
    </row>
    <row r="58" spans="2:6" x14ac:dyDescent="0.3">
      <c r="B58">
        <v>13</v>
      </c>
      <c r="C58">
        <f t="shared" si="5"/>
        <v>671775.88292506279</v>
      </c>
      <c r="D58">
        <f t="shared" si="6"/>
        <v>87406.032552306395</v>
      </c>
      <c r="E58">
        <f t="shared" si="7"/>
        <v>536067.23922960926</v>
      </c>
      <c r="F58">
        <f t="shared" si="8"/>
        <v>588019.47985625593</v>
      </c>
    </row>
    <row r="59" spans="2:6" x14ac:dyDescent="0.3">
      <c r="B59">
        <v>14</v>
      </c>
      <c r="C59">
        <f t="shared" si="5"/>
        <v>656889.33497609466</v>
      </c>
      <c r="D59">
        <f t="shared" si="6"/>
        <v>451872.40653114102</v>
      </c>
      <c r="E59">
        <f t="shared" si="7"/>
        <v>312591.12043750705</v>
      </c>
      <c r="F59">
        <f t="shared" si="8"/>
        <v>231501.81028640203</v>
      </c>
    </row>
    <row r="60" spans="2:6" x14ac:dyDescent="0.3">
      <c r="B60">
        <v>15</v>
      </c>
      <c r="C60">
        <f t="shared" si="5"/>
        <v>214395.01810345284</v>
      </c>
      <c r="D60">
        <f t="shared" si="6"/>
        <v>16246162.323708741</v>
      </c>
      <c r="E60">
        <f t="shared" si="7"/>
        <v>161713.84648262485</v>
      </c>
      <c r="F60">
        <f t="shared" si="8"/>
        <v>2086.0943355890636</v>
      </c>
    </row>
    <row r="61" spans="2:6" x14ac:dyDescent="0.3">
      <c r="B61">
        <v>16</v>
      </c>
      <c r="C61">
        <f t="shared" si="5"/>
        <v>201431.23746384698</v>
      </c>
      <c r="D61">
        <f t="shared" si="6"/>
        <v>5188632.5174886473</v>
      </c>
      <c r="E61">
        <f t="shared" si="7"/>
        <v>146842.59395187622</v>
      </c>
      <c r="F61">
        <f t="shared" si="8"/>
        <v>252763.42963703838</v>
      </c>
    </row>
    <row r="62" spans="2:6" x14ac:dyDescent="0.3">
      <c r="B62">
        <v>17</v>
      </c>
      <c r="C62">
        <f t="shared" si="5"/>
        <v>439384.44669726741</v>
      </c>
      <c r="D62">
        <f t="shared" si="6"/>
        <v>1206715.6303284839</v>
      </c>
      <c r="E62">
        <f t="shared" si="7"/>
        <v>131304.87269073073</v>
      </c>
      <c r="F62">
        <f t="shared" si="8"/>
        <v>330485.97895792144</v>
      </c>
    </row>
    <row r="63" spans="2:6" x14ac:dyDescent="0.3">
      <c r="B63">
        <v>18</v>
      </c>
      <c r="C63">
        <f t="shared" si="5"/>
        <v>24487.890503725859</v>
      </c>
      <c r="D63">
        <f t="shared" si="6"/>
        <v>544208.44441246788</v>
      </c>
      <c r="E63">
        <f t="shared" si="7"/>
        <v>414786.36010878172</v>
      </c>
      <c r="F63">
        <f t="shared" si="8"/>
        <v>384385.55331990158</v>
      </c>
    </row>
    <row r="64" spans="2:6" x14ac:dyDescent="0.3">
      <c r="B64">
        <v>19</v>
      </c>
      <c r="C64">
        <f t="shared" si="5"/>
        <v>123169.15761164131</v>
      </c>
      <c r="D64">
        <f t="shared" si="6"/>
        <v>3332196.362706502</v>
      </c>
      <c r="E64">
        <f t="shared" si="7"/>
        <v>2172.4559155697493</v>
      </c>
      <c r="F64">
        <f t="shared" si="8"/>
        <v>184712.15524455754</v>
      </c>
    </row>
    <row r="65" spans="2:6" x14ac:dyDescent="0.3">
      <c r="B65">
        <v>20</v>
      </c>
      <c r="C65">
        <f t="shared" si="5"/>
        <v>79481.890588968701</v>
      </c>
      <c r="D65">
        <f t="shared" si="6"/>
        <v>4442840.4533054121</v>
      </c>
      <c r="E65">
        <f t="shared" si="7"/>
        <v>18350.987033592424</v>
      </c>
      <c r="F65">
        <f t="shared" si="8"/>
        <v>12874.075167415634</v>
      </c>
    </row>
    <row r="66" spans="2:6" x14ac:dyDescent="0.3">
      <c r="B66">
        <v>21</v>
      </c>
      <c r="C66">
        <f t="shared" si="5"/>
        <v>262596.12144132296</v>
      </c>
      <c r="D66">
        <f t="shared" si="6"/>
        <v>80193.447142504519</v>
      </c>
      <c r="E66">
        <f t="shared" si="7"/>
        <v>81039.641069478239</v>
      </c>
      <c r="F66">
        <f t="shared" si="8"/>
        <v>150656.44589103875</v>
      </c>
    </row>
    <row r="67" spans="2:6" x14ac:dyDescent="0.3">
      <c r="B67">
        <v>22</v>
      </c>
      <c r="C67">
        <f t="shared" si="5"/>
        <v>130856.41907534034</v>
      </c>
      <c r="D67">
        <f t="shared" si="6"/>
        <v>78152.329205506467</v>
      </c>
      <c r="E67">
        <f t="shared" si="7"/>
        <v>204778.0536926481</v>
      </c>
      <c r="F67">
        <f t="shared" si="8"/>
        <v>620284.31970217335</v>
      </c>
    </row>
    <row r="68" spans="2:6" x14ac:dyDescent="0.3">
      <c r="B68">
        <v>23</v>
      </c>
      <c r="C68">
        <f t="shared" si="5"/>
        <v>19914.711682199366</v>
      </c>
      <c r="D68">
        <f t="shared" si="6"/>
        <v>688112.73683554644</v>
      </c>
      <c r="E68">
        <f t="shared" si="7"/>
        <v>277380.79603139358</v>
      </c>
      <c r="F68">
        <f t="shared" si="8"/>
        <v>5632.6546547308817</v>
      </c>
    </row>
    <row r="69" spans="2:6" x14ac:dyDescent="0.3">
      <c r="B69">
        <v>24</v>
      </c>
      <c r="C69">
        <f t="shared" si="5"/>
        <v>193388.55450525694</v>
      </c>
      <c r="D69">
        <f t="shared" si="6"/>
        <v>47240.945942611499</v>
      </c>
      <c r="E69">
        <f t="shared" si="7"/>
        <v>321585.02503987332</v>
      </c>
      <c r="F69">
        <f t="shared" si="8"/>
        <v>18908.418233615932</v>
      </c>
    </row>
    <row r="70" spans="2:6" x14ac:dyDescent="0.3">
      <c r="B70">
        <v>25</v>
      </c>
      <c r="C70">
        <f t="shared" si="5"/>
        <v>209766.91514243255</v>
      </c>
      <c r="D70">
        <f t="shared" si="6"/>
        <v>550629.71723943308</v>
      </c>
      <c r="E70">
        <f t="shared" si="7"/>
        <v>33381.009470701538</v>
      </c>
      <c r="F70">
        <f t="shared" si="8"/>
        <v>22487.234293306712</v>
      </c>
    </row>
    <row r="71" spans="2:6" x14ac:dyDescent="0.3">
      <c r="B71">
        <v>26</v>
      </c>
      <c r="C71">
        <f t="shared" si="5"/>
        <v>3663.6719566934876</v>
      </c>
      <c r="D71">
        <f t="shared" si="6"/>
        <v>221632.43559274543</v>
      </c>
      <c r="E71">
        <f t="shared" si="7"/>
        <v>12373.463001784716</v>
      </c>
      <c r="F71">
        <f t="shared" si="8"/>
        <v>152461.49134878669</v>
      </c>
    </row>
    <row r="72" spans="2:6" x14ac:dyDescent="0.3">
      <c r="B72">
        <v>27</v>
      </c>
    </row>
    <row r="73" spans="2:6" x14ac:dyDescent="0.3">
      <c r="B73">
        <v>28</v>
      </c>
    </row>
    <row r="74" spans="2:6" x14ac:dyDescent="0.3">
      <c r="B74">
        <v>29</v>
      </c>
    </row>
    <row r="75" spans="2:6" x14ac:dyDescent="0.3">
      <c r="B75">
        <v>30</v>
      </c>
    </row>
  </sheetData>
  <mergeCells count="1">
    <mergeCell ref="A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Levene Test</vt:lpstr>
      <vt:lpstr>throughput_per_fulfilled_order</vt:lpstr>
      <vt:lpstr>throughput per hour</vt:lpstr>
      <vt:lpstr>pile-on</vt:lpstr>
      <vt:lpstr>total_energy</vt:lpstr>
      <vt:lpstr>energy_per_fulfilled_order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2026-06-25T07:27:50Z</dcterms:modified>
</cp:coreProperties>
</file>